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0_README" sheetId="1" state="visible" r:id="rId1"/>
    <sheet name="1_Inputs" sheetId="2" state="visible" r:id="rId2"/>
    <sheet name="2_RateCard_Unit" sheetId="3" state="visible" r:id="rId3"/>
    <sheet name="3_RateCard_Recurring" sheetId="4" state="visible" r:id="rId4"/>
    <sheet name="4_Journey_Units_LOS" sheetId="5" state="visible" r:id="rId5"/>
    <sheet name="5_Journey_Units_Service" sheetId="6" state="visible" r:id="rId6"/>
    <sheet name="6_Funnel_And_Lifetime" sheetId="7" state="visible" r:id="rId7"/>
    <sheet name="7_Cost_Origination" sheetId="8" state="visible" r:id="rId8"/>
    <sheet name="8_Cost_Servicing" sheetId="9" state="visible" r:id="rId9"/>
    <sheet name="9_Cloud_Cost" sheetId="10" state="visible" r:id="rId10"/>
    <sheet name="10_Governance_Cost" sheetId="11" state="visible" r:id="rId11"/>
    <sheet name="11_Service_Cost" sheetId="12" state="visible" r:id="rId12"/>
    <sheet name="12_Tenant_PnL" sheetId="13" state="visible" r:id="rId13"/>
    <sheet name="13_Price_Card" sheetId="14" state="visible" r:id="rId14"/>
    <sheet name="14_Journey_Economics" sheetId="15" state="visible" r:id="rId15"/>
    <sheet name="15_Sensitivity" sheetId="16" state="visible" r:id="rId16"/>
    <sheet name="16_Coverage_Map" sheetId="17" state="visible" r:id="rId17"/>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quot;₹&quot;#,##0;(&quot;₹&quot;#,##0);-"/>
    <numFmt numFmtId="167" formatCode="&quot;₹&quot;#,##0.00;(&quot;₹&quot;#,##0.00);-"/>
    <numFmt numFmtId="168" formatCode="#,##0.00;(#,##0.00);-"/>
    <numFmt numFmtId="169" formatCode="#,##0.000;(#,##0.000);-"/>
    <numFmt numFmtId="170" formatCode="0.0&quot;x&quot;"/>
  </numFmts>
  <fonts count="12">
    <font>
      <name val="Calibri"/>
      <family val="2"/>
      <color theme="1"/>
      <sz val="11"/>
      <scheme val="minor"/>
    </font>
    <font>
      <name val="Arial"/>
      <b val="1"/>
      <color rgb="001F3864"/>
      <sz val="14"/>
    </font>
    <font>
      <name val="Arial"/>
      <i val="1"/>
      <color rgb="00595959"/>
      <sz val="9"/>
    </font>
    <font>
      <name val="Arial"/>
      <b val="1"/>
      <color rgb="001F3864"/>
      <sz val="10"/>
    </font>
    <font>
      <name val="Arial"/>
      <sz val="10"/>
    </font>
    <font>
      <name val="Arial"/>
      <color rgb="000000FF"/>
      <sz val="10"/>
    </font>
    <font>
      <name val="Arial"/>
      <b val="1"/>
      <color rgb="00FFFFFF"/>
      <sz val="10"/>
    </font>
    <font>
      <name val="Arial"/>
      <color rgb="00BFBFBF"/>
      <sz val="10"/>
    </font>
    <font>
      <name val="Arial"/>
      <color rgb="00008000"/>
      <sz val="10"/>
    </font>
    <font>
      <name val="Arial"/>
      <b val="1"/>
      <sz val="10"/>
    </font>
    <font>
      <name val="Arial"/>
      <b val="1"/>
      <color rgb="00008000"/>
      <sz val="9"/>
    </font>
    <font>
      <name val="Arial"/>
      <b val="1"/>
      <color rgb="000000FF"/>
      <sz val="10"/>
    </font>
  </fonts>
  <fills count="8">
    <fill>
      <patternFill/>
    </fill>
    <fill>
      <patternFill patternType="gray125"/>
    </fill>
    <fill>
      <patternFill patternType="solid">
        <fgColor rgb="00EDF2F9"/>
      </patternFill>
    </fill>
    <fill>
      <patternFill patternType="solid">
        <fgColor rgb="00FFFF00"/>
      </patternFill>
    </fill>
    <fill>
      <patternFill patternType="solid">
        <fgColor rgb="001F3864"/>
      </patternFill>
    </fill>
    <fill>
      <patternFill patternType="solid">
        <fgColor rgb="00E2EFDA"/>
      </patternFill>
    </fill>
    <fill>
      <patternFill patternType="solid">
        <fgColor rgb="00FCE4D6"/>
      </patternFill>
    </fill>
    <fill>
      <patternFill patternType="solid">
        <fgColor rgb="00D9E2F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horizontal="left" wrapText="1"/>
    </xf>
    <xf numFmtId="0" fontId="5" fillId="3" borderId="1" applyAlignment="1" pivotButton="0" quotePrefix="0" xfId="0">
      <alignment horizontal="center"/>
    </xf>
    <xf numFmtId="0" fontId="2" fillId="0" borderId="0" applyAlignment="1" pivotButton="0" quotePrefix="0" xfId="0">
      <alignment horizontal="left" wrapText="1"/>
    </xf>
    <xf numFmtId="164" fontId="5" fillId="3" borderId="1" applyAlignment="1" pivotButton="0" quotePrefix="0" xfId="0">
      <alignment horizontal="center"/>
    </xf>
    <xf numFmtId="165" fontId="5" fillId="3" borderId="1" applyAlignment="1" pivotButton="0" quotePrefix="0" xfId="0">
      <alignment horizontal="center"/>
    </xf>
    <xf numFmtId="166" fontId="5" fillId="3" borderId="1" applyAlignment="1" pivotButton="0" quotePrefix="0" xfId="0">
      <alignment horizontal="center"/>
    </xf>
    <xf numFmtId="0" fontId="6" fillId="4" borderId="1" applyAlignment="1" pivotButton="0" quotePrefix="0" xfId="0">
      <alignment horizontal="center" vertical="center" wrapText="1"/>
    </xf>
    <xf numFmtId="0" fontId="7" fillId="0" borderId="1" applyAlignment="1" pivotButton="0" quotePrefix="0" xfId="0">
      <alignment horizontal="center"/>
    </xf>
    <xf numFmtId="0" fontId="4" fillId="0" borderId="1" applyAlignment="1" pivotButton="0" quotePrefix="0" xfId="0">
      <alignment horizontal="left" wrapText="1"/>
    </xf>
    <xf numFmtId="0" fontId="2" fillId="0" borderId="1" applyAlignment="1" pivotButton="0" quotePrefix="0" xfId="0">
      <alignment horizontal="left" wrapText="1"/>
    </xf>
    <xf numFmtId="164" fontId="8" fillId="0" borderId="1" applyAlignment="1" pivotButton="0" quotePrefix="0" xfId="0">
      <alignment horizontal="center"/>
    </xf>
    <xf numFmtId="166" fontId="8" fillId="0" borderId="1" applyAlignment="1" pivotButton="0" quotePrefix="0" xfId="0">
      <alignment horizontal="center"/>
    </xf>
    <xf numFmtId="0" fontId="9" fillId="5" borderId="1" applyAlignment="1" pivotButton="0" quotePrefix="0" xfId="0">
      <alignment horizontal="center"/>
    </xf>
    <xf numFmtId="0" fontId="4" fillId="0" borderId="1" applyAlignment="1" pivotButton="0" quotePrefix="0" xfId="0">
      <alignment horizontal="center"/>
    </xf>
    <xf numFmtId="167" fontId="5" fillId="3" borderId="1" applyAlignment="1" pivotButton="0" quotePrefix="0" xfId="0">
      <alignment horizontal="center"/>
    </xf>
    <xf numFmtId="168" fontId="5" fillId="3" borderId="1" applyAlignment="1" pivotButton="0" quotePrefix="0" xfId="0">
      <alignment horizontal="center"/>
    </xf>
    <xf numFmtId="0" fontId="10" fillId="0" borderId="1" applyAlignment="1" pivotButton="0" quotePrefix="0" xfId="0">
      <alignment horizontal="left" wrapText="1"/>
    </xf>
    <xf numFmtId="0" fontId="4" fillId="6" borderId="1" applyAlignment="1" pivotButton="0" quotePrefix="0" xfId="0">
      <alignment horizontal="center"/>
    </xf>
    <xf numFmtId="0" fontId="2" fillId="6" borderId="1" applyAlignment="1" pivotButton="0" quotePrefix="0" xfId="0">
      <alignment horizontal="left" wrapText="1"/>
    </xf>
    <xf numFmtId="0" fontId="9" fillId="2" borderId="1" applyAlignment="1" pivotButton="0" quotePrefix="0" xfId="0">
      <alignment horizontal="center"/>
    </xf>
    <xf numFmtId="0" fontId="9" fillId="6" borderId="1" applyAlignment="1" pivotButton="0" quotePrefix="0" xfId="0">
      <alignment horizontal="center"/>
    </xf>
    <xf numFmtId="0" fontId="9" fillId="0" borderId="0" applyAlignment="1" pivotButton="0" quotePrefix="0" xfId="0">
      <alignment horizontal="left" wrapText="1"/>
    </xf>
    <xf numFmtId="0" fontId="9" fillId="0" borderId="1" applyAlignment="1" pivotButton="0" quotePrefix="0" xfId="0">
      <alignment horizontal="center"/>
    </xf>
    <xf numFmtId="164" fontId="4" fillId="0" borderId="1" applyAlignment="1" pivotButton="0" quotePrefix="0" xfId="0">
      <alignment horizontal="center"/>
    </xf>
    <xf numFmtId="166" fontId="4" fillId="0" borderId="1" applyAlignment="1" pivotButton="0" quotePrefix="0" xfId="0">
      <alignment horizontal="center"/>
    </xf>
    <xf numFmtId="0" fontId="9" fillId="7" borderId="1" applyAlignment="1" pivotButton="0" quotePrefix="0" xfId="0">
      <alignment horizontal="left" wrapText="1"/>
    </xf>
    <xf numFmtId="166" fontId="9" fillId="7" borderId="1" applyAlignment="1" pivotButton="0" quotePrefix="0" xfId="0">
      <alignment horizontal="center"/>
    </xf>
    <xf numFmtId="0" fontId="6" fillId="4" borderId="1" applyAlignment="1" pivotButton="0" quotePrefix="0" xfId="0">
      <alignment horizontal="center"/>
    </xf>
    <xf numFmtId="0" fontId="6" fillId="4" borderId="1" applyAlignment="1" pivotButton="0" quotePrefix="0" xfId="0">
      <alignment horizontal="center" vertical="bottom" textRotation="90"/>
    </xf>
    <xf numFmtId="0" fontId="9" fillId="2" borderId="1" applyAlignment="1" pivotButton="0" quotePrefix="0" xfId="0">
      <alignment horizontal="left" wrapText="1"/>
    </xf>
    <xf numFmtId="0" fontId="3" fillId="2" borderId="1" applyAlignment="1" pivotButton="0" quotePrefix="0" xfId="0">
      <alignment horizontal="left" wrapText="1"/>
    </xf>
    <xf numFmtId="168" fontId="5" fillId="0" borderId="1" applyAlignment="1" pivotButton="0" quotePrefix="0" xfId="0">
      <alignment horizontal="center"/>
    </xf>
    <xf numFmtId="168" fontId="7" fillId="0" borderId="1" applyAlignment="1" pivotButton="0" quotePrefix="0" xfId="0">
      <alignment horizontal="center"/>
    </xf>
    <xf numFmtId="0" fontId="9" fillId="0" borderId="1" applyAlignment="1" pivotButton="0" quotePrefix="0" xfId="0">
      <alignment horizontal="left" wrapText="1"/>
    </xf>
    <xf numFmtId="165" fontId="11" fillId="3" borderId="1" applyAlignment="1" pivotButton="0" quotePrefix="0" xfId="0">
      <alignment horizontal="center"/>
    </xf>
    <xf numFmtId="165" fontId="4" fillId="7" borderId="1" applyAlignment="1" pivotButton="0" quotePrefix="0" xfId="0">
      <alignment horizontal="center"/>
    </xf>
    <xf numFmtId="168" fontId="4" fillId="0" borderId="1" applyAlignment="1" pivotButton="0" quotePrefix="0" xfId="0">
      <alignment horizontal="center"/>
    </xf>
    <xf numFmtId="165" fontId="4" fillId="0" borderId="1" applyAlignment="1" pivotButton="0" quotePrefix="0" xfId="0">
      <alignment horizontal="center"/>
    </xf>
    <xf numFmtId="169" fontId="4" fillId="0" borderId="1" applyAlignment="1" pivotButton="0" quotePrefix="0" xfId="0">
      <alignment horizontal="center"/>
    </xf>
    <xf numFmtId="164" fontId="7" fillId="0" borderId="1" applyAlignment="1" pivotButton="0" quotePrefix="0" xfId="0">
      <alignment horizontal="center"/>
    </xf>
    <xf numFmtId="169" fontId="5" fillId="3" borderId="1" applyAlignment="1" pivotButton="0" quotePrefix="0" xfId="0">
      <alignment horizontal="center"/>
    </xf>
    <xf numFmtId="0" fontId="8" fillId="2" borderId="1" applyAlignment="1" pivotButton="0" quotePrefix="0" xfId="0">
      <alignment horizontal="center"/>
    </xf>
    <xf numFmtId="164" fontId="8" fillId="2" borderId="1" applyAlignment="1" pivotButton="0" quotePrefix="0" xfId="0">
      <alignment horizontal="center"/>
    </xf>
    <xf numFmtId="166" fontId="8" fillId="2" borderId="1" applyAlignment="1" pivotButton="0" quotePrefix="0" xfId="0">
      <alignment horizontal="center"/>
    </xf>
    <xf numFmtId="165" fontId="8" fillId="2" borderId="1" applyAlignment="1" pivotButton="0" quotePrefix="0" xfId="0">
      <alignment horizontal="center"/>
    </xf>
    <xf numFmtId="168" fontId="8" fillId="0" borderId="1" applyAlignment="1" pivotButton="0" quotePrefix="0" xfId="0">
      <alignment horizontal="center"/>
    </xf>
    <xf numFmtId="165" fontId="8" fillId="0" borderId="1" applyAlignment="1" pivotButton="0" quotePrefix="0" xfId="0">
      <alignment horizontal="center"/>
    </xf>
    <xf numFmtId="167" fontId="8" fillId="0" borderId="1" applyAlignment="1" pivotButton="0" quotePrefix="0" xfId="0">
      <alignment horizontal="center"/>
    </xf>
    <xf numFmtId="167" fontId="4" fillId="0" borderId="1" applyAlignment="1" pivotButton="0" quotePrefix="0" xfId="0">
      <alignment horizontal="center"/>
    </xf>
    <xf numFmtId="0" fontId="8" fillId="0" borderId="1" applyAlignment="1" pivotButton="0" quotePrefix="0" xfId="0">
      <alignment horizontal="center"/>
    </xf>
    <xf numFmtId="167" fontId="9" fillId="7" borderId="1" applyAlignment="1" pivotButton="0" quotePrefix="0" xfId="0">
      <alignment horizontal="center"/>
    </xf>
    <xf numFmtId="168" fontId="9" fillId="7" borderId="1" applyAlignment="1" pivotButton="0" quotePrefix="0" xfId="0">
      <alignment horizontal="center"/>
    </xf>
    <xf numFmtId="168" fontId="8" fillId="2" borderId="1" applyAlignment="1" pivotButton="0" quotePrefix="0" xfId="0">
      <alignment horizontal="center"/>
    </xf>
    <xf numFmtId="169" fontId="8" fillId="0" borderId="1" applyAlignment="1" pivotButton="0" quotePrefix="0" xfId="0">
      <alignment horizontal="center"/>
    </xf>
    <xf numFmtId="0" fontId="4" fillId="0" borderId="1" pivotButton="0" quotePrefix="0" xfId="0"/>
    <xf numFmtId="166" fontId="11" fillId="3" borderId="1" applyAlignment="1" pivotButton="0" quotePrefix="0" xfId="0">
      <alignment horizontal="center"/>
    </xf>
    <xf numFmtId="0" fontId="0" fillId="7" borderId="0" pivotButton="0" quotePrefix="0" xfId="0"/>
    <xf numFmtId="164" fontId="9" fillId="0" borderId="1" applyAlignment="1" pivotButton="0" quotePrefix="0" xfId="0">
      <alignment horizontal="center"/>
    </xf>
    <xf numFmtId="170" fontId="4" fillId="0" borderId="1" applyAlignment="1" pivotButton="0" quotePrefix="0" xfId="0">
      <alignment horizontal="center"/>
    </xf>
    <xf numFmtId="166" fontId="9" fillId="0" borderId="1" applyAlignment="1" pivotButton="0" quotePrefix="0" xfId="0">
      <alignment horizontal="center"/>
    </xf>
    <xf numFmtId="164" fontId="9" fillId="7" borderId="1" applyAlignment="1" pivotButton="0" quotePrefix="0" xfId="0">
      <alignment horizontal="center"/>
    </xf>
    <xf numFmtId="165" fontId="9" fillId="7" borderId="1" applyAlignment="1" pivotButton="0" quotePrefix="0" xfId="0">
      <alignment horizontal="center"/>
    </xf>
    <xf numFmtId="167" fontId="9" fillId="0" borderId="1" applyAlignment="1" pivotButton="0" quotePrefix="0" xfId="0">
      <alignment horizontal="center"/>
    </xf>
    <xf numFmtId="164" fontId="9" fillId="6" borderId="1" applyAlignment="1" pivotButton="0" quotePrefix="0" xfId="0">
      <alignment horizontal="center"/>
    </xf>
    <xf numFmtId="165" fontId="9" fillId="0" borderId="1" applyAlignment="1" pivotButton="0" quotePrefix="0" xfId="0">
      <alignment horizontal="center"/>
    </xf>
    <xf numFmtId="168" fontId="9" fillId="0" borderId="1" applyAlignment="1" pivotButton="0" quotePrefix="0" xfId="0">
      <alignment horizontal="center"/>
    </xf>
    <xf numFmtId="170" fontId="9" fillId="7" borderId="1" applyAlignment="1" pivotButton="0" quotePrefix="0" xfId="0">
      <alignment horizontal="center"/>
    </xf>
    <xf numFmtId="168" fontId="9" fillId="6" borderId="1" applyAlignment="1" pivotButton="0" quotePrefix="0" xfId="0">
      <alignment horizontal="center"/>
    </xf>
    <xf numFmtId="0" fontId="4" fillId="5" borderId="1" applyAlignment="1" pivotButton="0" quotePrefix="0" xfId="0">
      <alignment horizontal="center"/>
    </xf>
    <xf numFmtId="0" fontId="4" fillId="2" borderId="1" applyAlignment="1" pivotButton="0" quotePrefix="0" xfId="0">
      <alignment horizontal="center"/>
    </xf>
    <xf numFmtId="164" fontId="9" fillId="5" borderId="1" applyAlignment="1" pivotButton="0" quotePrefix="0" xfId="0">
      <alignment horizontal="center"/>
    </xf>
    <xf numFmtId="164" fontId="9"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LoanOS cost model</author>
  </authors>
  <commentList>
    <comment ref="I5" authorId="0" shapeId="0">
      <text>
        <t>OTP resends are the norm on Indian mobile networks.</t>
      </text>
    </comment>
    <comment ref="I6" authorId="0" shapeId="0">
      <text>
        <t>Attempts (incl. retries and provider failures) per successful unit.</t>
      </text>
    </comment>
    <comment ref="I7" authorId="0" shapeId="0">
      <text>
        <t>Attempts (incl. retries and provider failures) per successful unit.</t>
      </text>
    </comment>
    <comment ref="I8" authorId="0" shapeId="0">
      <text>
        <t>Attempts (incl. retries and provider failures) per successful unit.</t>
      </text>
    </comment>
    <comment ref="I9" authorId="0" shapeId="0">
      <text>
        <t>Attempts (incl. retries and provider failures) per successful unit.</t>
      </text>
    </comment>
    <comment ref="I10" authorId="0" shapeId="0">
      <text>
        <t>Attempts (incl. retries and provider failures) per successful unit.</t>
      </text>
    </comment>
    <comment ref="I11" authorId="0" shapeId="0">
      <text>
        <t>Biometric/OTP failure and re-attempt.</t>
      </text>
    </comment>
    <comment ref="I12" authorId="0" shapeId="0">
      <text>
        <t>Attempts (incl. retries and provider failures) per successful unit.</t>
      </text>
    </comment>
    <comment ref="I13" authorId="0" shapeId="0">
      <text>
        <t>Dropped/rescheduled V-CIP sessions are charged.</t>
      </text>
    </comment>
    <comment ref="I14" authorId="0" shapeId="0">
      <text>
        <t>Attempts (incl. retries and provider failures) per successful unit.</t>
      </text>
    </comment>
    <comment ref="I15" authorId="0" shapeId="0">
      <text>
        <t>Attempts (incl. retries and provider failures) per successful unit.</t>
      </text>
    </comment>
    <comment ref="I16" authorId="0" shapeId="0">
      <text>
        <t>Attempts (incl. retries and provider failures) per successful unit.</t>
      </text>
    </comment>
    <comment ref="I17" authorId="0" shapeId="0">
      <text>
        <t>Attempts (incl. retries and provider failures) per successful unit.</t>
      </text>
    </comment>
    <comment ref="I18" authorId="0" shapeId="0">
      <text>
        <t>Attempts (incl. retries and provider failures) per successful unit.</t>
      </text>
    </comment>
    <comment ref="I19" authorId="0" shapeId="0">
      <text>
        <t>Attempts (incl. retries and provider failures) per successful unit.</t>
      </text>
    </comment>
    <comment ref="I20" authorId="0" shapeId="0">
      <text>
        <t>AA fetch success rates remain well below 100%; each retry is billable.</t>
      </text>
    </comment>
    <comment ref="I21" authorId="0" shapeId="0">
      <text>
        <t>Attempts (incl. retries and provider failures) per successful unit.</t>
      </text>
    </comment>
    <comment ref="I22" authorId="0" shapeId="0">
      <text>
        <t>Attempts (incl. retries and provider failures) per successful unit.</t>
      </text>
    </comment>
    <comment ref="I23" authorId="0" shapeId="0">
      <text>
        <t>Attempts (incl. retries and provider failures) per successful unit.</t>
      </text>
    </comment>
    <comment ref="I24" authorId="0" shapeId="0">
      <text>
        <t>Attempts (incl. retries and provider failures) per successful unit.</t>
      </text>
    </comment>
    <comment ref="I25" authorId="0" shapeId="0">
      <text>
        <t>Attempts (incl. retries and provider failures) per successful unit.</t>
      </text>
    </comment>
    <comment ref="I26" authorId="0" shapeId="0">
      <text>
        <t>Attempts (incl. retries and provider failures) per successful unit.</t>
      </text>
    </comment>
    <comment ref="I27" authorId="0" shapeId="0">
      <text>
        <t>Attempts (incl. retries and provider failures) per successful unit.</t>
      </text>
    </comment>
    <comment ref="I28" authorId="0" shapeId="0">
      <text>
        <t>Attempts (incl. retries and provider failures) per successful unit.</t>
      </text>
    </comment>
    <comment ref="I29" authorId="0" shapeId="0">
      <text>
        <t>Attempts (incl. retries and provider failures) per successful unit.</t>
      </text>
    </comment>
    <comment ref="I30" authorId="0" shapeId="0">
      <text>
        <t>Attempts (incl. retries and provider failures) per successful unit.</t>
      </text>
    </comment>
    <comment ref="I31" authorId="0" shapeId="0">
      <text>
        <t>Attempts (incl. retries and provider failures) per successful unit.</t>
      </text>
    </comment>
    <comment ref="I32" authorId="0" shapeId="0">
      <text>
        <t>Attempts (incl. retries and provider failures) per successful unit.</t>
      </text>
    </comment>
    <comment ref="I33" authorId="0" shapeId="0">
      <text>
        <t>Attempts (incl. retries and provider failures) per successful unit.</t>
      </text>
    </comment>
    <comment ref="I34" authorId="0" shapeId="0">
      <text>
        <t>Attempts (incl. retries and provider failures) per successful unit.</t>
      </text>
    </comment>
    <comment ref="I35" authorId="0" shapeId="0">
      <text>
        <t>Attempts (incl. retries and provider failures) per successful unit.</t>
      </text>
    </comment>
    <comment ref="I36" authorId="0" shapeId="0">
      <text>
        <t>Attempts (incl. retries and provider failures) per successful unit.</t>
      </text>
    </comment>
    <comment ref="I37" authorId="0" shapeId="0">
      <text>
        <t>Attempts (incl. retries and provider failures) per successful unit.</t>
      </text>
    </comment>
    <comment ref="I38" authorId="0" shapeId="0">
      <text>
        <t>Attempts (incl. retries and provider failures) per successful unit.</t>
      </text>
    </comment>
    <comment ref="I39" authorId="0" shapeId="0">
      <text>
        <t>eNACH registration failure and re-attempt is common.</t>
      </text>
    </comment>
    <comment ref="I40" authorId="0" shapeId="0">
      <text>
        <t>Attempts (incl. retries and provider failures) per successful unit.</t>
      </text>
    </comment>
    <comment ref="I41" authorId="0" shapeId="0">
      <text>
        <t>Attempts (incl. retries and provider failures) per successful unit.</t>
      </text>
    </comment>
    <comment ref="I42" authorId="0" shapeId="0">
      <text>
        <t>Attempts (incl. retries and provider failures) per successful unit.</t>
      </text>
    </comment>
    <comment ref="I43" authorId="0" shapeId="0">
      <text>
        <t>Attempts (incl. retries and provider failures) per successful unit.</t>
      </text>
    </comment>
    <comment ref="I44" authorId="0" shapeId="0">
      <text>
        <t>Attempts (incl. retries and provider failures) per successful unit.</t>
      </text>
    </comment>
    <comment ref="I45" authorId="0" shapeId="0">
      <text>
        <t>Attempts (incl. retries and provider failures) per successful unit.</t>
      </text>
    </comment>
    <comment ref="I46" authorId="0" shapeId="0">
      <text>
        <t>Attempts (incl. retries and provider failures) per successful unit.</t>
      </text>
    </comment>
    <comment ref="I47" authorId="0" shapeId="0">
      <text>
        <t>Attempts (incl. retries and provider failures) per successful unit.</t>
      </text>
    </comment>
    <comment ref="I48" authorId="0" shapeId="0">
      <text>
        <t>Attempts (incl. retries and provider failures) per successful unit.</t>
      </text>
    </comment>
    <comment ref="I49" authorId="0" shapeId="0">
      <text>
        <t>Attempts (incl. retries and provider failures) per successful unit.</t>
      </text>
    </comment>
    <comment ref="I50" authorId="0" shapeId="0">
      <text>
        <t>Attempts (incl. retries and provider failures) per successful unit.</t>
      </text>
    </comment>
    <comment ref="I51" authorId="0" shapeId="0">
      <text>
        <t>Attempts (incl. retries and provider failures) per successful unit.</t>
      </text>
    </comment>
    <comment ref="I52" authorId="0" shapeId="0">
      <text>
        <t>Attempts (incl. retries and provider failures) per successful unit.</t>
      </text>
    </comment>
    <comment ref="I53" authorId="0" shapeId="0">
      <text>
        <t>Attempts (incl. retries and provider failures) per successful unit.</t>
      </text>
    </comment>
    <comment ref="I54" authorId="0" shapeId="0">
      <text>
        <t>Attempts (incl. retries and provider failures) per successful unit.</t>
      </text>
    </comment>
    <comment ref="I55" authorId="0" shapeId="0">
      <text>
        <t>Attempts (incl. retries and provider failures) per successful unit.</t>
      </text>
    </comment>
    <comment ref="I56" authorId="0" shapeId="0">
      <text>
        <t>Attempts (incl. retries and provider failures) per successful unit.</t>
      </text>
    </comment>
    <comment ref="I57" authorId="0" shapeId="0">
      <text>
        <t>Attempts (incl. retries and provider failures) per successful unit.</t>
      </text>
    </comment>
    <comment ref="I58" authorId="0" shapeId="0">
      <text>
        <t>Attempts (incl. retries and provider failures) per successful unit.</t>
      </text>
    </comment>
    <comment ref="I59" authorId="0" shapeId="0">
      <text>
        <t>Attempts (incl. retries and provider failures) per successful unit.</t>
      </text>
    </comment>
    <comment ref="I60" authorId="0" shapeId="0">
      <text>
        <t>Attempts (incl. retries and provider failures) per successful unit.</t>
      </text>
    </comment>
    <comment ref="I61" authorId="0" shapeId="0">
      <text>
        <t>Attempts (incl. retries and provider failures) per successful unit.</t>
      </text>
    </comment>
    <comment ref="I62" authorId="0" shapeId="0">
      <text>
        <t>Attempts (incl. retries and provider failures) per successful unit.</t>
      </text>
    </comment>
    <comment ref="I63" authorId="0" shapeId="0">
      <text>
        <t>Attempts (incl. retries and provider failures) per successful unit.</t>
      </text>
    </comment>
    <comment ref="I64" authorId="0" shapeId="0">
      <text>
        <t>Attempts (incl. retries and provider failures) per successful unit.</t>
      </text>
    </comment>
    <comment ref="I65" authorId="0" shapeId="0">
      <text>
        <t>Attempts (incl. retries and provider failures) per successful unit.</t>
      </text>
    </comment>
    <comment ref="I66" authorId="0" shapeId="0">
      <text>
        <t>Attempts (incl. retries and provider failures) per successful unit.</t>
      </text>
    </comment>
    <comment ref="I67" authorId="0" shapeId="0">
      <text>
        <t>Attempts (incl. retries and provider failures) per successful unit.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53"/>
  <sheetViews>
    <sheetView showGridLines="0"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LoanOS India — Tenant Cost &amp; Pricing Model (full loan lifecycle)</t>
        </is>
      </c>
    </row>
    <row r="2">
      <c r="A2" s="2" t="inlineStr">
        <is>
          <t>Bottom-up unit economics for a multi-tenant, RBI-compliance-first lending platform. Origination, servicing, collections and closure across all 21 journeys and all 115 integrations.</t>
        </is>
      </c>
    </row>
    <row r="4">
      <c r="A4" s="3" t="inlineStr">
        <is>
          <t>What this model answers</t>
        </is>
      </c>
      <c r="B4" s="4" t="n"/>
    </row>
    <row r="5">
      <c r="B5" s="5" t="inlineStr">
        <is>
          <t>1. What does it cost to run one tenant for one month, to originate one loan, and to SERVICE it to closure?</t>
        </is>
      </c>
    </row>
    <row r="6">
      <c r="B6" s="5" t="inlineStr">
        <is>
          <t>2. How does that change across the 21 journeys? Sheet 14 computes it live.</t>
        </is>
      </c>
    </row>
    <row r="7">
      <c r="B7" s="5" t="inlineStr">
        <is>
          <t>3. What must we charge to hit a target gross margin — on origination AND on the book?</t>
        </is>
      </c>
    </row>
    <row r="8">
      <c r="B8" s="5" t="inlineStr">
        <is>
          <t>4. At what volume does a tenant break even, and how does year 1 differ from the steady-state book?</t>
        </is>
      </c>
    </row>
    <row r="10">
      <c r="A10" s="3" t="inlineStr">
        <is>
          <t>Cost classes</t>
        </is>
      </c>
      <c r="B10" s="4" t="n"/>
    </row>
    <row r="11">
      <c r="B11" s="5" t="inlineStr">
        <is>
          <t>Class U — unit cost, fires N times against a countable basis (application, loan-month, EMI, closure, collection event).</t>
        </is>
      </c>
    </row>
    <row r="12">
      <c r="B12" s="5" t="inlineStr">
        <is>
          <t>Class R — recurring subscription, scales with a QUANTITY driver (devices, branches, seats, partners, feeds).</t>
        </is>
      </c>
    </row>
    <row r="13">
      <c r="B13" s="5" t="inlineStr">
        <is>
          <t xml:space="preserve">          This class is why a branch-heavy tenant can cost more than a digital one at ten times the volume.</t>
        </is>
      </c>
    </row>
    <row r="14">
      <c r="B14" s="5" t="inlineStr">
        <is>
          <t>Class P — platform fixed cost, allocated across tenants (cloud, governance, support).</t>
        </is>
      </c>
    </row>
    <row r="16">
      <c r="A16" s="3" t="inlineStr">
        <is>
          <t>Coverage</t>
        </is>
      </c>
      <c r="B16" s="4" t="n"/>
    </row>
    <row r="17">
      <c r="B17" s="5" t="inlineStr">
        <is>
          <t>All 21 canonical product journeys.</t>
        </is>
      </c>
    </row>
    <row r="18">
      <c r="B18" s="5" t="inlineStr">
        <is>
          <t>All 115 INT-* integrations: 96 carry an explicit priced driver; 19 are deliberately absorbed by the cloud,</t>
        </is>
      </c>
    </row>
    <row r="19">
      <c r="B19" s="5" t="inlineStr">
        <is>
          <t>governance or service sheets, or are internal capabilities with no external unit price.</t>
        </is>
      </c>
    </row>
    <row r="20">
      <c r="B20" s="5" t="inlineStr">
        <is>
          <t>Sheet 16 lists every one of the 115 with its treatment. Nothing is silently omitted.</t>
        </is>
      </c>
    </row>
    <row r="21">
      <c r="B21" s="5" t="inlineStr">
        <is>
          <t>LOS lifecycle stages 1-12: application_capture through closure.</t>
        </is>
      </c>
    </row>
    <row r="23">
      <c r="A23" s="3" t="inlineStr">
        <is>
          <t>How to use it</t>
        </is>
      </c>
      <c r="B23" s="4" t="n"/>
    </row>
    <row r="24">
      <c r="B24" s="5" t="inlineStr">
        <is>
          <t>Step 1  Fill only the BLUE cells on 1_Inputs. That includes the quantity drivers that size the recurring class.</t>
        </is>
      </c>
    </row>
    <row r="25">
      <c r="B25" s="5" t="inlineStr">
        <is>
          <t>Step 2  Replace 2_RateCard_Unit and 3_RateCard_Recurring with signed vendor prices. Nothing else matters as much.</t>
        </is>
      </c>
    </row>
    <row r="26">
      <c r="B26" s="5" t="inlineStr">
        <is>
          <t>Step 3  Calibrate 6_Funnel_And_Lifetime — conversion, tenor, prepayment, delinquency — to the tenant's own history.</t>
        </is>
      </c>
    </row>
    <row r="27">
      <c r="B27" s="5" t="inlineStr">
        <is>
          <t>Step 4  Read 12_Tenant_PnL for margin and break-even, and 13_Price_Card for the quote.</t>
        </is>
      </c>
    </row>
    <row r="28">
      <c r="B28" s="5" t="inlineStr">
        <is>
          <t>Step 5  Use 14_Journey_Economics to price journey by journey. Never quote one blended price across the spread.</t>
        </is>
      </c>
    </row>
    <row r="30">
      <c r="A30" s="3" t="inlineStr">
        <is>
          <t>Colour legend</t>
        </is>
      </c>
      <c r="B30" s="4" t="n"/>
    </row>
    <row r="31">
      <c r="B31" s="5" t="inlineStr">
        <is>
          <t>BLUE text   = hardcoded input or scenario lever. Safe to edit.</t>
        </is>
      </c>
    </row>
    <row r="32">
      <c r="B32" s="5" t="inlineStr">
        <is>
          <t>BLACK text  = formula on this sheet.  GREEN text = link to another sheet. Do not overwrite either.</t>
        </is>
      </c>
    </row>
    <row r="33">
      <c r="B33" s="5" t="inlineStr">
        <is>
          <t>YELLOW fill = key assumption you are expected to challenge.</t>
        </is>
      </c>
    </row>
    <row r="34">
      <c r="B34" s="5" t="inlineStr">
        <is>
          <t>ORANGE fill = no published price anchor exists; the number is a placeholder pending a vendor quotation.</t>
        </is>
      </c>
    </row>
    <row r="36">
      <c r="A36" s="3" t="inlineStr">
        <is>
          <t>Honesty note — read before quoting anyone</t>
        </is>
      </c>
      <c r="B36" s="4" t="n"/>
    </row>
    <row r="37">
      <c r="B37" s="5" t="inlineStr">
        <is>
          <t>Every rupee figure here is a PLACEHOLDER ASSUMPTION. Only three priced drivers have a dated public price in</t>
        </is>
      </c>
    </row>
    <row r="38">
      <c r="B38" s="5" t="inlineStr">
        <is>
          <t>docs/architecture/integration-vendor-procurement-catalog.md (MSG91, Finvu, Cashfree). Every other line there</t>
        </is>
      </c>
    </row>
    <row r="39">
      <c r="B39" s="5" t="inlineStr">
        <is>
          <t>is explicitly RFQ, which is why most of this rate card is Medium or Low confidence.</t>
        </is>
      </c>
    </row>
    <row r="40">
      <c r="B40" s="5" t="inlineStr"/>
    </row>
    <row r="41">
      <c r="B41" s="5" t="inlineStr">
        <is>
          <t>The funnel, tenor, prepayment and delinquency profiles are industry-shaped guesses, not measured LoanOS data.</t>
        </is>
      </c>
    </row>
    <row r="42">
      <c r="B42" s="5" t="inlineStr">
        <is>
          <t>Origination cost scales inversely with the funded rate; servicing cost scales with effective life; collections</t>
        </is>
      </c>
    </row>
    <row r="43">
      <c r="B43" s="5" t="inlineStr">
        <is>
          <t>cost scales with the delinquency profile. All three are unmeasured. Stand up the usage meter before repricing.</t>
        </is>
      </c>
    </row>
    <row r="45">
      <c r="A45" s="3" t="inlineStr">
        <is>
          <t>Repo anchors</t>
        </is>
      </c>
      <c r="B45" s="4" t="n"/>
    </row>
    <row r="46">
      <c r="B46" s="5" t="inlineStr">
        <is>
          <t>21 journeys and maturity        docs/product/product-journey-platform-depth.json</t>
        </is>
      </c>
    </row>
    <row r="47">
      <c r="B47" s="5" t="inlineStr">
        <is>
          <t>LOS lifecycle stages            docs/architecture/composed-product-journey-lifecycle.md</t>
        </is>
      </c>
    </row>
    <row r="48">
      <c r="B48" s="5" t="inlineStr">
        <is>
          <t>All 115 INT-* integrations      docs/architecture/platform-module-integration-api-map.md</t>
        </is>
      </c>
    </row>
    <row r="49">
      <c r="B49" s="5" t="inlineStr">
        <is>
          <t>Vendor prices and RFQ status    docs/architecture/integration-vendor-procurement-catalog.md</t>
        </is>
      </c>
    </row>
    <row r="50">
      <c r="B50" s="5" t="inlineStr">
        <is>
          <t>4 deployment models,            packages/core/src/platform/saas-deployment-blueprints.js</t>
        </is>
      </c>
    </row>
    <row r="51">
      <c r="B51" s="5" t="inlineStr">
        <is>
          <t>17 required tenant components</t>
        </is>
      </c>
    </row>
    <row r="52">
      <c r="B52" s="5" t="inlineStr">
        <is>
          <t>Per-tenant isolated runtime     docs/decisions/0003-decision-engine-pure-rust-per-tenant.md (ADR 0003)</t>
        </is>
      </c>
    </row>
    <row r="53">
      <c r="B53" s="5" t="inlineStr">
        <is>
          <t>Billing gap (no meter yet)      INT-ADM-08 / INT-PLT-12 — priced as driver R37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showGridLines="0" tabSelected="1" workbookViewId="0">
      <pane ySplit="3" topLeftCell="A4" activePane="bottomLeft" state="frozen"/>
      <selection pane="bottomLeft" activeCell="A1" sqref="A1"/>
    </sheetView>
  </sheetViews>
  <sheetFormatPr baseColWidth="8" defaultRowHeight="15"/>
  <cols>
    <col width="52" customWidth="1" min="1" max="1"/>
    <col width="24" customWidth="1" min="2" max="2"/>
    <col width="74" customWidth="1" min="3" max="3"/>
    <col width="22" customWidth="1" min="4" max="4"/>
  </cols>
  <sheetData>
    <row r="1">
      <c r="A1" s="1" t="inlineStr">
        <is>
          <t>1 — Deal inputs</t>
        </is>
      </c>
    </row>
    <row r="2">
      <c r="A2" s="2" t="inlineStr">
        <is>
          <t>Edit BLUE cells only. Everything downstream recalculates from here.</t>
        </is>
      </c>
    </row>
    <row r="4">
      <c r="A4" s="3" t="inlineStr">
        <is>
          <t>Deal identity</t>
        </is>
      </c>
      <c r="B4" s="4" t="n"/>
      <c r="C4" s="4" t="n"/>
      <c r="D4" s="4" t="n"/>
      <c r="E4" s="4" t="n"/>
      <c r="F4" s="4" t="n"/>
      <c r="G4" s="4" t="n"/>
      <c r="H4" s="4" t="n"/>
      <c r="I4" s="4" t="n"/>
      <c r="J4" s="4" t="n"/>
      <c r="K4" s="4" t="n"/>
      <c r="L4" s="4" t="n"/>
      <c r="M4" s="4" t="n"/>
      <c r="N4" s="4" t="n"/>
    </row>
    <row r="6">
      <c r="A6" s="5" t="inlineStr">
        <is>
          <t>Tenant / regulated entity name</t>
        </is>
      </c>
      <c r="B6" s="6" t="inlineStr">
        <is>
          <t>Example NBFC Ltd</t>
        </is>
      </c>
      <c r="C6" s="7" t="inlineStr">
        <is>
          <t>Free text — appears on the price card.</t>
        </is>
      </c>
    </row>
    <row r="7">
      <c r="A7" s="5" t="inlineStr">
        <is>
          <t>Regulated entity type</t>
        </is>
      </c>
      <c r="B7" s="6" t="inlineStr">
        <is>
          <t>NBFC-ICC</t>
        </is>
      </c>
      <c r="C7" s="7" t="inlineStr">
        <is>
          <t>NBFC / NBFC-MFI / HFC / SFB / Bank / LSP. Drives regulatory scope.</t>
        </is>
      </c>
    </row>
    <row r="8">
      <c r="A8" s="5" t="inlineStr">
        <is>
          <t>Contract term (months)</t>
        </is>
      </c>
      <c r="B8" s="8" t="n">
        <v>36</v>
      </c>
      <c r="C8" s="7" t="inlineStr">
        <is>
          <t>Amortises onboarding cost and fee.</t>
        </is>
      </c>
    </row>
    <row r="9">
      <c r="A9" s="5" t="inlineStr">
        <is>
          <t>Live tenants on platform</t>
        </is>
      </c>
      <c r="B9" s="8" t="n">
        <v>12</v>
      </c>
      <c r="C9" s="7" t="inlineStr">
        <is>
          <t>Denominator for equal-share governance allocation.</t>
        </is>
      </c>
    </row>
    <row r="10">
      <c r="A10" s="5" t="inlineStr">
        <is>
          <t>Platform annual funded loans (all tenants)</t>
        </is>
      </c>
      <c r="B10" s="8" t="n">
        <v>900000</v>
      </c>
      <c r="C10" s="7" t="inlineStr">
        <is>
          <t>Denominator for volume-weighted governance allocation.</t>
        </is>
      </c>
    </row>
    <row r="11">
      <c r="A11" s="3" t="inlineStr">
        <is>
          <t>Deployment and service</t>
        </is>
      </c>
      <c r="B11" s="4" t="n"/>
      <c r="C11" s="4" t="n"/>
      <c r="D11" s="4" t="n"/>
      <c r="E11" s="4" t="n"/>
      <c r="F11" s="4" t="n"/>
      <c r="G11" s="4" t="n"/>
      <c r="H11" s="4" t="n"/>
      <c r="I11" s="4" t="n"/>
      <c r="J11" s="4" t="n"/>
      <c r="K11" s="4" t="n"/>
      <c r="L11" s="4" t="n"/>
      <c r="M11" s="4" t="n"/>
      <c r="N11" s="4" t="n"/>
    </row>
    <row r="13">
      <c r="A13" s="5" t="inlineStr">
        <is>
          <t>Deployment model</t>
        </is>
      </c>
      <c r="B13" s="6" t="inlineStr">
        <is>
          <t>shared_multi_tenant</t>
        </is>
      </c>
      <c r="C13" s="7" t="inlineStr">
        <is>
          <t>SAAS_DEPLOYMENT_MODELS in saas-deployment-blueprints.js.</t>
        </is>
      </c>
    </row>
    <row r="14">
      <c r="A14" s="5" t="inlineStr">
        <is>
          <t>Support tier</t>
        </is>
      </c>
      <c r="B14" s="6" t="inlineStr">
        <is>
          <t>Standard</t>
        </is>
      </c>
      <c r="C14" s="7" t="inlineStr">
        <is>
          <t>Drives sheet 11.</t>
        </is>
      </c>
    </row>
    <row r="15">
      <c r="A15" s="5" t="inlineStr">
        <is>
          <t>Governance allocation basis</t>
        </is>
      </c>
      <c r="B15" s="6" t="inlineStr">
        <is>
          <t>Blended 50/50</t>
        </is>
      </c>
      <c r="C15" s="7" t="inlineStr">
        <is>
          <t>How platform compliance cost spreads across tenants.</t>
        </is>
      </c>
    </row>
    <row r="16">
      <c r="A16" s="3" t="inlineStr">
        <is>
          <t>Journey, volume and book</t>
        </is>
      </c>
      <c r="B16" s="4" t="n"/>
      <c r="C16" s="4" t="n"/>
      <c r="D16" s="4" t="n"/>
      <c r="E16" s="4" t="n"/>
      <c r="F16" s="4" t="n"/>
      <c r="G16" s="4" t="n"/>
      <c r="H16" s="4" t="n"/>
      <c r="I16" s="4" t="n"/>
      <c r="J16" s="4" t="n"/>
      <c r="K16" s="4" t="n"/>
      <c r="L16" s="4" t="n"/>
      <c r="M16" s="4" t="n"/>
      <c r="N16" s="4" t="n"/>
    </row>
    <row r="18">
      <c r="A18" s="5" t="inlineStr">
        <is>
          <t>Primary journey</t>
        </is>
      </c>
      <c r="B18" s="6" t="inlineStr">
        <is>
          <t>personal_loan</t>
        </is>
      </c>
      <c r="C18" s="7" t="inlineStr">
        <is>
          <t>One of the 21 canonical journeys. Price each separately.</t>
        </is>
      </c>
    </row>
    <row r="19">
      <c r="A19" s="5" t="inlineStr">
        <is>
          <t>Monthly applications STARTED</t>
        </is>
      </c>
      <c r="B19" s="8" t="n">
        <v>4000</v>
      </c>
      <c r="C19" s="7" t="inlineStr">
        <is>
          <t>Entering application_capture — not approved or funded loans.</t>
        </is>
      </c>
    </row>
    <row r="20">
      <c r="A20" s="5" t="inlineStr">
        <is>
          <t>Rate card scenario</t>
        </is>
      </c>
      <c r="B20" s="6" t="inlineStr">
        <is>
          <t>Base</t>
        </is>
      </c>
      <c r="C20" s="7" t="inlineStr">
        <is>
          <t>Low / Base / High column on both rate cards.</t>
        </is>
      </c>
    </row>
    <row r="21">
      <c r="A21" s="5" t="inlineStr">
        <is>
          <t>Book maturity</t>
        </is>
      </c>
      <c r="B21" s="6" t="inlineStr">
        <is>
          <t>Steady state</t>
        </is>
      </c>
      <c r="C21" s="7" t="inlineStr">
        <is>
          <t>Year 1 = ramping book, little servicing cost or revenue. Steady state = originations equal closures. Quote multi-year deals on steady state.</t>
        </is>
      </c>
    </row>
    <row r="22">
      <c r="A22" s="5" t="inlineStr">
        <is>
          <t>Average ticket override (₹, 0 = journey default)</t>
        </is>
      </c>
      <c r="B22" s="8" t="n">
        <v>0</v>
      </c>
      <c r="C22" s="7" t="inlineStr">
        <is>
          <t>Set only if this tenant's ticket differs.</t>
        </is>
      </c>
    </row>
    <row r="23">
      <c r="A23" s="3" t="inlineStr">
        <is>
          <t>Commercial levers</t>
        </is>
      </c>
      <c r="B23" s="4" t="n"/>
      <c r="C23" s="4" t="n"/>
      <c r="D23" s="4" t="n"/>
      <c r="E23" s="4" t="n"/>
      <c r="F23" s="4" t="n"/>
      <c r="G23" s="4" t="n"/>
      <c r="H23" s="4" t="n"/>
      <c r="I23" s="4" t="n"/>
      <c r="J23" s="4" t="n"/>
      <c r="K23" s="4" t="n"/>
      <c r="L23" s="4" t="n"/>
      <c r="M23" s="4" t="n"/>
      <c r="N23" s="4" t="n"/>
    </row>
    <row r="25">
      <c r="A25" s="5" t="inlineStr">
        <is>
          <t>Target gross margin %</t>
        </is>
      </c>
      <c r="B25" s="9" t="n">
        <v>0.62</v>
      </c>
      <c r="C25" s="7" t="inlineStr">
        <is>
          <t>Sheet 13 solves for the per-funded-loan fee that achieves this.</t>
        </is>
      </c>
    </row>
    <row r="26">
      <c r="A26" s="5" t="inlineStr">
        <is>
          <t>Pass-through handling markup %</t>
        </is>
      </c>
      <c r="B26" s="9" t="n">
        <v>0.08</v>
      </c>
      <c r="C26" s="7" t="inlineStr">
        <is>
          <t>Markup on rebilled provider cost. 0% = pure pass-through.</t>
        </is>
      </c>
    </row>
    <row r="27">
      <c r="A27" s="5" t="inlineStr">
        <is>
          <t>Platform fee (₹ per month)</t>
        </is>
      </c>
      <c r="B27" s="10" t="n">
        <v>350000</v>
      </c>
      <c r="C27" s="7" t="inlineStr">
        <is>
          <t>Fixed subscription. Recovers the per-tenant cost floor.</t>
        </is>
      </c>
    </row>
    <row r="28">
      <c r="A28" s="5" t="inlineStr">
        <is>
          <t>Fee per DECISIONED application (₹)</t>
        </is>
      </c>
      <c r="B28" s="10" t="n">
        <v>12</v>
      </c>
      <c r="C28" s="7" t="inlineStr">
        <is>
          <t>Metered at credit_decision — resistant to junk-lead gaming.</t>
        </is>
      </c>
    </row>
    <row r="29">
      <c r="A29" s="5" t="inlineStr">
        <is>
          <t>Fee per FUNDED loan (₹)</t>
        </is>
      </c>
      <c r="B29" s="10" t="n">
        <v>900</v>
      </c>
      <c r="C29" s="7" t="inlineStr">
        <is>
          <t>Origination fee, charged on disbursement.</t>
        </is>
      </c>
    </row>
    <row r="30">
      <c r="A30" s="5" t="inlineStr">
        <is>
          <t>LMS fee per ACTIVE loan per month (₹)</t>
        </is>
      </c>
      <c r="B30" s="10" t="n">
        <v>14</v>
      </c>
      <c r="C30" s="7" t="inlineStr">
        <is>
          <t>Servicing fee on the book — what pays for the loan's whole life.</t>
        </is>
      </c>
    </row>
    <row r="31">
      <c r="A31" s="5" t="inlineStr">
        <is>
          <t>One-time onboarding fee charged (₹)</t>
        </is>
      </c>
      <c r="B31" s="10" t="n">
        <v>750000</v>
      </c>
      <c r="C31" s="7" t="inlineStr">
        <is>
          <t>Compare against modelled onboarding cost on sheet 11.</t>
        </is>
      </c>
    </row>
    <row r="33">
      <c r="A33" s="3" t="inlineStr">
        <is>
          <t>Quantity drivers — these size the RECURRING cost class (sheet 3)</t>
        </is>
      </c>
      <c r="B33" s="4" t="n"/>
      <c r="C33" s="4" t="n"/>
      <c r="D33" s="4" t="n"/>
      <c r="E33" s="4" t="n"/>
      <c r="F33" s="4" t="n"/>
      <c r="G33" s="4" t="n"/>
      <c r="H33" s="4" t="n"/>
      <c r="I33" s="4" t="n"/>
      <c r="J33" s="4" t="n"/>
      <c r="K33" s="4" t="n"/>
      <c r="L33" s="4" t="n"/>
      <c r="M33" s="4" t="n"/>
      <c r="N33" s="4" t="n"/>
    </row>
    <row r="34">
      <c r="A34" s="7" t="inlineStr">
        <is>
          <t>Recurring cost does not scale with loan volume. It scales with these. A tenant with 25 branches and 120 field devices carries that cost whether it originates 200 loans a month or 20,000.</t>
        </is>
      </c>
    </row>
    <row r="36" ht="20" customHeight="1">
      <c r="A36" s="11" t="inlineStr">
        <is>
          <t>Basis key</t>
        </is>
      </c>
      <c r="B36" s="11" t="inlineStr">
        <is>
          <t>Quantity driver</t>
        </is>
      </c>
      <c r="C36" s="11" t="inlineStr">
        <is>
          <t>Quantity</t>
        </is>
      </c>
      <c r="D36" s="11" t="inlineStr">
        <is>
          <t>Unit</t>
        </is>
      </c>
    </row>
    <row r="37">
      <c r="A37" s="12" t="inlineStr">
        <is>
          <t>field_devices_month</t>
        </is>
      </c>
      <c r="B37" s="13" t="inlineStr">
        <is>
          <t>Field devices under management</t>
        </is>
      </c>
      <c r="C37" s="8" t="n">
        <v>120</v>
      </c>
      <c r="D37" s="14" t="inlineStr">
        <is>
          <t>per device / month</t>
        </is>
      </c>
    </row>
    <row r="38">
      <c r="A38" s="12" t="inlineStr">
        <is>
          <t>branches_month</t>
        </is>
      </c>
      <c r="B38" s="13" t="inlineStr">
        <is>
          <t>Branches / territories</t>
        </is>
      </c>
      <c r="C38" s="8" t="n">
        <v>25</v>
      </c>
      <c r="D38" s="14" t="inlineStr">
        <is>
          <t>per branch / month</t>
        </is>
      </c>
    </row>
    <row r="39">
      <c r="A39" s="12" t="inlineStr">
        <is>
          <t>staff_seats_month</t>
        </is>
      </c>
      <c r="B39" s="13" t="inlineStr">
        <is>
          <t>Staff seats (all workspaces)</t>
        </is>
      </c>
      <c r="C39" s="8" t="n">
        <v>260</v>
      </c>
      <c r="D39" s="14" t="inlineStr">
        <is>
          <t>per seat / month</t>
        </is>
      </c>
    </row>
    <row r="40">
      <c r="A40" s="12" t="inlineStr">
        <is>
          <t>bi_seats_month</t>
        </is>
      </c>
      <c r="B40" s="13" t="inlineStr">
        <is>
          <t>BI / analytics seats</t>
        </is>
      </c>
      <c r="C40" s="8" t="n">
        <v>15</v>
      </c>
      <c r="D40" s="14" t="inlineStr">
        <is>
          <t>per seat / month</t>
        </is>
      </c>
    </row>
    <row r="41">
      <c r="A41" s="12" t="inlineStr">
        <is>
          <t>partners_month</t>
        </is>
      </c>
      <c r="B41" s="13" t="inlineStr">
        <is>
          <t>Active partners / LSPs / DSAs</t>
        </is>
      </c>
      <c r="C41" s="8" t="n">
        <v>40</v>
      </c>
      <c r="D41" s="14" t="inlineStr">
        <is>
          <t>per partner / month</t>
        </is>
      </c>
    </row>
    <row r="42">
      <c r="A42" s="12" t="inlineStr">
        <is>
          <t>vendor_panel_month</t>
        </is>
      </c>
      <c r="B42" s="13" t="inlineStr">
        <is>
          <t>Empanelled valuers, advocates, agencies</t>
        </is>
      </c>
      <c r="C42" s="8" t="n">
        <v>35</v>
      </c>
      <c r="D42" s="14" t="inlineStr">
        <is>
          <t>per vendor / month</t>
        </is>
      </c>
    </row>
    <row r="43">
      <c r="A43" s="12" t="inlineStr">
        <is>
          <t>bank_accounts_month</t>
        </is>
      </c>
      <c r="B43" s="13" t="inlineStr">
        <is>
          <t>Operating, escrow and collection accounts</t>
        </is>
      </c>
      <c r="C43" s="8" t="n">
        <v>8</v>
      </c>
      <c r="D43" s="14" t="inlineStr">
        <is>
          <t>per account / month</t>
        </is>
      </c>
    </row>
    <row r="44">
      <c r="A44" s="12" t="inlineStr">
        <is>
          <t>languages_year</t>
        </is>
      </c>
      <c r="B44" s="13" t="inlineStr">
        <is>
          <t>Approved vernacular languages</t>
        </is>
      </c>
      <c r="C44" s="8" t="n">
        <v>6</v>
      </c>
      <c r="D44" s="14" t="inlineStr">
        <is>
          <t>per language / year</t>
        </is>
      </c>
    </row>
    <row r="45">
      <c r="A45" s="12" t="inlineStr">
        <is>
          <t>reference_feeds_year</t>
        </is>
      </c>
      <c r="B45" s="13" t="inlineStr">
        <is>
          <t>Reference data feeds subscribed</t>
        </is>
      </c>
      <c r="C45" s="8" t="n">
        <v>4</v>
      </c>
      <c r="D45" s="14" t="inlineStr">
        <is>
          <t>per feed / year</t>
        </is>
      </c>
    </row>
    <row r="46">
      <c r="A46" s="12" t="inlineStr">
        <is>
          <t>governed_models_year</t>
        </is>
      </c>
      <c r="B46" s="13" t="inlineStr">
        <is>
          <t>Governed models under monitoring</t>
        </is>
      </c>
      <c r="C46" s="8" t="n">
        <v>7</v>
      </c>
      <c r="D46" s="14" t="inlineStr">
        <is>
          <t>per model / year</t>
        </is>
      </c>
    </row>
    <row r="47">
      <c r="A47" s="12" t="inlineStr">
        <is>
          <t>vector_gb_month</t>
        </is>
      </c>
      <c r="B47" s="13" t="inlineStr">
        <is>
          <t>Agent knowledge index (GB)</t>
        </is>
      </c>
      <c r="C47" s="8" t="n">
        <v>40</v>
      </c>
      <c r="D47" s="14" t="inlineStr">
        <is>
          <t>per GB / month</t>
        </is>
      </c>
    </row>
    <row r="48">
      <c r="A48" s="12" t="inlineStr">
        <is>
          <t>tenant_month</t>
        </is>
      </c>
      <c r="B48" s="13" t="inlineStr">
        <is>
          <t>Tenant (flat)</t>
        </is>
      </c>
      <c r="C48" s="8" t="n">
        <v>1</v>
      </c>
      <c r="D48" s="14" t="inlineStr">
        <is>
          <t>per tenant / month</t>
        </is>
      </c>
    </row>
    <row r="49">
      <c r="A49" s="12" t="inlineStr">
        <is>
          <t>tenant_year</t>
        </is>
      </c>
      <c r="B49" s="13" t="inlineStr">
        <is>
          <t>Tenant (flat)</t>
        </is>
      </c>
      <c r="C49" s="8" t="n">
        <v>1</v>
      </c>
      <c r="D49" s="14" t="inlineStr">
        <is>
          <t>per tenant / year</t>
        </is>
      </c>
    </row>
    <row r="51">
      <c r="A51" s="3" t="inlineStr">
        <is>
          <t>Derived — do not edit</t>
        </is>
      </c>
      <c r="B51" s="4" t="n"/>
      <c r="C51" s="4" t="n"/>
      <c r="D51" s="4" t="n"/>
      <c r="E51" s="4" t="n"/>
      <c r="F51" s="4" t="n"/>
      <c r="G51" s="4" t="n"/>
      <c r="H51" s="4" t="n"/>
      <c r="I51" s="4" t="n"/>
      <c r="J51" s="4" t="n"/>
      <c r="K51" s="4" t="n"/>
      <c r="L51" s="4" t="n"/>
      <c r="M51" s="4" t="n"/>
      <c r="N51" s="4" t="n"/>
    </row>
    <row r="52">
      <c r="A52" s="5" t="inlineStr">
        <is>
          <t>Deployment model index</t>
        </is>
      </c>
      <c r="B52" s="15">
        <f>IFERROR(MATCH($B$13,'9_Cloud_Cost'!$C$4:$F$4,0),1)</f>
        <v/>
      </c>
    </row>
    <row r="53">
      <c r="A53" s="5" t="inlineStr">
        <is>
          <t>Support tier index</t>
        </is>
      </c>
      <c r="B53" s="15">
        <f>IFERROR(MATCH($B$14,'11_Service_Cost'!$B$5:$B$7,0),1)</f>
        <v/>
      </c>
    </row>
    <row r="54">
      <c r="A54" s="5" t="inlineStr">
        <is>
          <t>Rate card scenario index</t>
        </is>
      </c>
      <c r="B54" s="15">
        <f>IF($B$20="Low",1,IF($B$20="High",3,2))</f>
        <v/>
      </c>
    </row>
    <row r="55">
      <c r="A55" s="5" t="inlineStr">
        <is>
          <t>Journey column index</t>
        </is>
      </c>
      <c r="B55" s="15">
        <f>IFERROR(MATCH($B$18,'4_Journey_Units_LOS'!$C$3:$W$3,0),1)</f>
        <v/>
      </c>
    </row>
    <row r="56">
      <c r="A56" s="5" t="inlineStr">
        <is>
          <t>Effective average ticket (₹)</t>
        </is>
      </c>
      <c r="B56" s="16">
        <f>IF($B$22&gt;0,$B$22,INDEX('4_Journey_Units_LOS'!$C$6:$W$6,$B$55))</f>
        <v/>
      </c>
    </row>
  </sheetData>
  <dataValidations count="6">
    <dataValidation sqref="B13" showDropDown="0" showInputMessage="0" showErrorMessage="0" allowBlank="0" type="list">
      <formula1>'9_Cloud_Cost'!$C$4:$F$4</formula1>
    </dataValidation>
    <dataValidation sqref="B14" showDropDown="0" showInputMessage="0" showErrorMessage="0" allowBlank="0" type="list">
      <formula1>'11_Service_Cost'!$B$5:$B$7</formula1>
    </dataValidation>
    <dataValidation sqref="B15" showDropDown="0" showInputMessage="0" showErrorMessage="0" allowBlank="0" type="list">
      <formula1>"Equal per tenant,Volume weighted,Blended 50/50"</formula1>
    </dataValidation>
    <dataValidation sqref="B18" showDropDown="0" showInputMessage="0" showErrorMessage="0" allowBlank="0" type="list">
      <formula1>'4_Journey_Units_LOS'!$C$3:$W$3</formula1>
    </dataValidation>
    <dataValidation sqref="B20" showDropDown="0" showInputMessage="0" showErrorMessage="0" allowBlank="0" type="list">
      <formula1>"Low,Base,High"</formula1>
    </dataValidation>
    <dataValidation sqref="B21" showDropDown="0" showInputMessage="0" showErrorMessage="0" allowBlank="0" type="list">
      <formula1>"Year 1,Steady state"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4" customWidth="1" min="3" max="3"/>
    <col width="23" customWidth="1" min="4" max="4"/>
    <col width="20" customWidth="1" min="5" max="5"/>
    <col width="11" customWidth="1" min="6" max="6"/>
    <col width="11" customWidth="1" min="7" max="7"/>
    <col width="11" customWidth="1" min="8" max="8"/>
    <col width="11" customWidth="1" min="9" max="9"/>
    <col width="11" customWidth="1" min="10" max="10"/>
    <col width="12" customWidth="1" min="11" max="11"/>
    <col width="62" customWidth="1" min="12" max="12"/>
    <col width="50" customWidth="1" min="13" max="13"/>
  </cols>
  <sheetData>
    <row r="1">
      <c r="A1" s="1" t="inlineStr">
        <is>
          <t>2 — Unit cost rate card (Class U)</t>
        </is>
      </c>
    </row>
    <row r="2">
      <c r="A2" s="2" t="inlineStr">
        <is>
          <t>One row per per-event cost driver across the whole loan lifecycle, mapped to its INT-* integration ID.</t>
        </is>
      </c>
    </row>
    <row r="4" ht="32" customHeight="1">
      <c r="A4" s="11" t="inlineStr">
        <is>
          <t>Driver ID</t>
        </is>
      </c>
      <c r="B4" s="11" t="inlineStr">
        <is>
          <t>Cost driver</t>
        </is>
      </c>
      <c r="C4" s="11" t="inlineStr">
        <is>
          <t>INT ID</t>
        </is>
      </c>
      <c r="D4" s="11" t="inlineStr">
        <is>
          <t>Fires at (LOS stage / lifetime basis)</t>
        </is>
      </c>
      <c r="E4" s="11" t="inlineStr">
        <is>
          <t>Unit</t>
        </is>
      </c>
      <c r="F4" s="11" t="inlineStr">
        <is>
          <t>Low ₹</t>
        </is>
      </c>
      <c r="G4" s="11" t="inlineStr">
        <is>
          <t>Base ₹</t>
        </is>
      </c>
      <c r="H4" s="11" t="inlineStr">
        <is>
          <t>High ₹</t>
        </is>
      </c>
      <c r="I4" s="11" t="inlineStr">
        <is>
          <t>Attempts</t>
        </is>
      </c>
      <c r="J4" s="11" t="inlineStr">
        <is>
          <t>Confidence</t>
        </is>
      </c>
      <c r="K4" s="11" t="inlineStr">
        <is>
          <t>Pass-through?</t>
        </is>
      </c>
      <c r="L4" s="11" t="inlineStr">
        <is>
          <t>Vendor / assumption note</t>
        </is>
      </c>
      <c r="M4" s="11" t="inlineStr">
        <is>
          <t>Public price anchor</t>
        </is>
      </c>
    </row>
    <row r="5">
      <c r="A5" s="17" t="inlineStr">
        <is>
          <t>D01</t>
        </is>
      </c>
      <c r="B5" s="13" t="inlineStr">
        <is>
          <t>Mobile/email OTP + delivery (DLT SMS / WhatsApp)</t>
        </is>
      </c>
      <c r="C5" s="18" t="inlineStr">
        <is>
          <t>INT-CUS-01</t>
        </is>
      </c>
      <c r="D5" s="18" t="inlineStr">
        <is>
          <t>application_capture</t>
        </is>
      </c>
      <c r="E5" s="18" t="inlineStr">
        <is>
          <t>per OTP sent</t>
        </is>
      </c>
      <c r="F5" s="19" t="n">
        <v>0.16</v>
      </c>
      <c r="G5" s="19" t="n">
        <v>0.2</v>
      </c>
      <c r="H5" s="19" t="n">
        <v>0.3</v>
      </c>
      <c r="I5" s="20" t="n">
        <v>1.6</v>
      </c>
      <c r="J5" s="18" t="inlineStr">
        <is>
          <t>High</t>
        </is>
      </c>
      <c r="K5" s="18" t="inlineStr">
        <is>
          <t>No</t>
        </is>
      </c>
      <c r="L5" s="14" t="inlineStr">
        <is>
          <t>MSG91 public list: Rs 0.25 at 5k/mo, Rs 0.18 at 30k, Rs 0.16 at ~1m, +18% GST. Add DLT/operator charge.</t>
        </is>
      </c>
      <c r="M5" s="21" t="inlineStr">
        <is>
          <t>MSG91 published list price (procurement catalogue §C)</t>
        </is>
      </c>
    </row>
    <row r="6">
      <c r="A6" s="17" t="inlineStr">
        <is>
          <t>D02</t>
        </is>
      </c>
      <c r="B6" s="13" t="inlineStr">
        <is>
          <t>Lead capture, dedupe and CRM sync</t>
        </is>
      </c>
      <c r="C6" s="18" t="inlineStr">
        <is>
          <t>INT-CUS-02</t>
        </is>
      </c>
      <c r="D6" s="18" t="inlineStr">
        <is>
          <t>application_capture</t>
        </is>
      </c>
      <c r="E6" s="18" t="inlineStr">
        <is>
          <t>per lead</t>
        </is>
      </c>
      <c r="F6" s="19" t="n">
        <v>0</v>
      </c>
      <c r="G6" s="19" t="n">
        <v>0.5</v>
      </c>
      <c r="H6" s="19" t="n">
        <v>2</v>
      </c>
      <c r="I6" s="20" t="n">
        <v>1</v>
      </c>
      <c r="J6" s="22" t="inlineStr">
        <is>
          <t>Low</t>
        </is>
      </c>
      <c r="K6" s="18" t="inlineStr">
        <is>
          <t>No</t>
        </is>
      </c>
      <c r="L6" s="14" t="inlineStr">
        <is>
          <t>Zero if internal-only; priced if an external CRM seat/API is in the path.</t>
        </is>
      </c>
      <c r="M6" s="23" t="inlineStr">
        <is>
          <t>RFQ — no public price; placeholder pending vendor quotation</t>
        </is>
      </c>
    </row>
    <row r="7">
      <c r="A7" s="17" t="inlineStr">
        <is>
          <t>D03</t>
        </is>
      </c>
      <c r="B7" s="13" t="inlineStr">
        <is>
          <t>Document upload + malware/DLP scan</t>
        </is>
      </c>
      <c r="C7" s="18" t="inlineStr">
        <is>
          <t>INT-CUS-04</t>
        </is>
      </c>
      <c r="D7" s="18" t="inlineStr">
        <is>
          <t>application_capture</t>
        </is>
      </c>
      <c r="E7" s="18" t="inlineStr">
        <is>
          <t>per document</t>
        </is>
      </c>
      <c r="F7" s="19" t="n">
        <v>0.2</v>
      </c>
      <c r="G7" s="19" t="n">
        <v>0.6</v>
      </c>
      <c r="H7" s="19" t="n">
        <v>1.5</v>
      </c>
      <c r="I7" s="20" t="n">
        <v>1.05</v>
      </c>
      <c r="J7" s="18" t="inlineStr">
        <is>
          <t>Medium</t>
        </is>
      </c>
      <c r="K7" s="18" t="inlineStr">
        <is>
          <t>No</t>
        </is>
      </c>
      <c r="L7" s="14" t="inlineStr">
        <is>
          <t>Object storage PUT + AV/DLP scan. Excludes long-run retention (see 6_Cloud_Cost).</t>
        </is>
      </c>
      <c r="M7" s="23" t="inlineStr">
        <is>
          <t>RFQ — no public price; placeholder pending vendor quotation</t>
        </is>
      </c>
    </row>
    <row r="8">
      <c r="A8" s="17" t="inlineStr">
        <is>
          <t>D04</t>
        </is>
      </c>
      <c r="B8" s="13" t="inlineStr">
        <is>
          <t>DigiLocker consent + issued-document fetch</t>
        </is>
      </c>
      <c r="C8" s="18" t="inlineStr">
        <is>
          <t>INT-CUS-05</t>
        </is>
      </c>
      <c r="D8" s="18" t="inlineStr">
        <is>
          <t>application_capture</t>
        </is>
      </c>
      <c r="E8" s="18" t="inlineStr">
        <is>
          <t>per fetch</t>
        </is>
      </c>
      <c r="F8" s="19" t="n">
        <v>2</v>
      </c>
      <c r="G8" s="19" t="n">
        <v>6</v>
      </c>
      <c r="H8" s="19" t="n">
        <v>12</v>
      </c>
      <c r="I8" s="20" t="n">
        <v>1.2</v>
      </c>
      <c r="J8" s="18" t="inlineStr">
        <is>
          <t>Medium</t>
        </is>
      </c>
      <c r="K8" s="18" t="inlineStr">
        <is>
          <t>Yes</t>
        </is>
      </c>
      <c r="L8" s="14" t="inlineStr">
        <is>
          <t>Aggregator fee. INT-CUS-05 is currently Missing in the integration map.</t>
        </is>
      </c>
      <c r="M8" s="23" t="inlineStr">
        <is>
          <t>RFQ — no public price; placeholder pending vendor quotation</t>
        </is>
      </c>
    </row>
    <row r="9">
      <c r="A9" s="17" t="inlineStr">
        <is>
          <t>D05</t>
        </is>
      </c>
      <c r="B9" s="13" t="inlineStr">
        <is>
          <t>Device / SIM / IP fraud signal</t>
        </is>
      </c>
      <c r="C9" s="18" t="inlineStr">
        <is>
          <t>INT-LOS-09</t>
        </is>
      </c>
      <c r="D9" s="18" t="inlineStr">
        <is>
          <t>application_capture</t>
        </is>
      </c>
      <c r="E9" s="18" t="inlineStr">
        <is>
          <t>per check</t>
        </is>
      </c>
      <c r="F9" s="19" t="n">
        <v>3</v>
      </c>
      <c r="G9" s="19" t="n">
        <v>7</v>
      </c>
      <c r="H9" s="19" t="n">
        <v>15</v>
      </c>
      <c r="I9" s="20" t="n">
        <v>1.02</v>
      </c>
      <c r="J9" s="18" t="inlineStr">
        <is>
          <t>Medium</t>
        </is>
      </c>
      <c r="K9" s="18" t="inlineStr">
        <is>
          <t>Yes</t>
        </is>
      </c>
      <c r="L9" s="14" t="inlineStr">
        <is>
          <t>Fraud intelligence vendor; priced per device fingerprint lookup.</t>
        </is>
      </c>
      <c r="M9" s="23" t="inlineStr">
        <is>
          <t>RFQ — no public price; placeholder pending vendor quotation</t>
        </is>
      </c>
    </row>
    <row r="10">
      <c r="A10" s="17" t="inlineStr">
        <is>
          <t>D06</t>
        </is>
      </c>
      <c r="B10" s="13" t="inlineStr">
        <is>
          <t>PAN verification (Protean/NSDL)</t>
        </is>
      </c>
      <c r="C10" s="18" t="inlineStr">
        <is>
          <t>INT-LOS-01</t>
        </is>
      </c>
      <c r="D10" s="18" t="inlineStr">
        <is>
          <t>kyc_aml</t>
        </is>
      </c>
      <c r="E10" s="18" t="inlineStr">
        <is>
          <t>per verification</t>
        </is>
      </c>
      <c r="F10" s="19" t="n">
        <v>1.5</v>
      </c>
      <c r="G10" s="19" t="n">
        <v>3</v>
      </c>
      <c r="H10" s="19" t="n">
        <v>6</v>
      </c>
      <c r="I10" s="20" t="n">
        <v>1.05</v>
      </c>
      <c r="J10" s="18" t="inlineStr">
        <is>
          <t>High</t>
        </is>
      </c>
      <c r="K10" s="18" t="inlineStr">
        <is>
          <t>Yes</t>
        </is>
      </c>
      <c r="L10" s="14" t="inlineStr">
        <is>
          <t>Well-benchmarked; aggregator markup over Protean base.</t>
        </is>
      </c>
      <c r="M10" s="23" t="inlineStr">
        <is>
          <t>RFQ — no public price; placeholder pending vendor quotation</t>
        </is>
      </c>
    </row>
    <row r="11">
      <c r="A11" s="17" t="inlineStr">
        <is>
          <t>D07</t>
        </is>
      </c>
      <c r="B11" s="13" t="inlineStr">
        <is>
          <t>Aadhaar offline XML / QR / KUA eKYC</t>
        </is>
      </c>
      <c r="C11" s="18" t="inlineStr">
        <is>
          <t>INT-LOS-01</t>
        </is>
      </c>
      <c r="D11" s="18" t="inlineStr">
        <is>
          <t>kyc_aml</t>
        </is>
      </c>
      <c r="E11" s="18" t="inlineStr">
        <is>
          <t>per eKYC</t>
        </is>
      </c>
      <c r="F11" s="19" t="n">
        <v>3</v>
      </c>
      <c r="G11" s="19" t="n">
        <v>8</v>
      </c>
      <c r="H11" s="19" t="n">
        <v>20</v>
      </c>
      <c r="I11" s="20" t="n">
        <v>1.25</v>
      </c>
      <c r="J11" s="18" t="inlineStr">
        <is>
          <t>Medium</t>
        </is>
      </c>
      <c r="K11" s="18" t="inlineStr">
        <is>
          <t>Yes</t>
        </is>
      </c>
      <c r="L11" s="14" t="inlineStr">
        <is>
          <t>UIDAI auth/eKYC fee plus AUA/KUA aggregator markup. Permitted-use only.</t>
        </is>
      </c>
      <c r="M11" s="23" t="inlineStr">
        <is>
          <t>RFQ — no public price; placeholder pending vendor quotation</t>
        </is>
      </c>
    </row>
    <row r="12">
      <c r="A12" s="17" t="inlineStr">
        <is>
          <t>D08</t>
        </is>
      </c>
      <c r="B12" s="13" t="inlineStr">
        <is>
          <t>CKYC search + record download (CERSAI)</t>
        </is>
      </c>
      <c r="C12" s="18" t="inlineStr">
        <is>
          <t>INT-LOS-02</t>
        </is>
      </c>
      <c r="D12" s="18" t="inlineStr">
        <is>
          <t>kyc_aml</t>
        </is>
      </c>
      <c r="E12" s="18" t="inlineStr">
        <is>
          <t>per record</t>
        </is>
      </c>
      <c r="F12" s="19" t="n">
        <v>0.5</v>
      </c>
      <c r="G12" s="19" t="n">
        <v>1.5</v>
      </c>
      <c r="H12" s="19" t="n">
        <v>3</v>
      </c>
      <c r="I12" s="20" t="n">
        <v>1.1</v>
      </c>
      <c r="J12" s="18" t="inlineStr">
        <is>
          <t>Medium</t>
        </is>
      </c>
      <c r="K12" s="18" t="inlineStr">
        <is>
          <t>Yes</t>
        </is>
      </c>
      <c r="L12" s="14" t="inlineStr">
        <is>
          <t>CERSAI download charge; low unit cost, high volume.</t>
        </is>
      </c>
      <c r="M12" s="23" t="inlineStr">
        <is>
          <t>RFQ — no public price; placeholder pending vendor quotation</t>
        </is>
      </c>
    </row>
    <row r="13">
      <c r="A13" s="17" t="inlineStr">
        <is>
          <t>D09</t>
        </is>
      </c>
      <c r="B13" s="13" t="inlineStr">
        <is>
          <t>V-CIP session (platform + agent handling time)</t>
        </is>
      </c>
      <c r="C13" s="18" t="inlineStr">
        <is>
          <t>INT-LOS-03</t>
        </is>
      </c>
      <c r="D13" s="18" t="inlineStr">
        <is>
          <t>kyc_aml</t>
        </is>
      </c>
      <c r="E13" s="18" t="inlineStr">
        <is>
          <t>per session</t>
        </is>
      </c>
      <c r="F13" s="19" t="n">
        <v>40</v>
      </c>
      <c r="G13" s="19" t="n">
        <v>85</v>
      </c>
      <c r="H13" s="19" t="n">
        <v>160</v>
      </c>
      <c r="I13" s="20" t="n">
        <v>1.3</v>
      </c>
      <c r="J13" s="18" t="inlineStr">
        <is>
          <t>Medium</t>
        </is>
      </c>
      <c r="K13" s="18" t="inlineStr">
        <is>
          <t>Yes</t>
        </is>
      </c>
      <c r="L13" s="14" t="inlineStr">
        <is>
          <t>Largest single KYC cost. Agent minutes usually exceed the platform fee.</t>
        </is>
      </c>
      <c r="M13" s="23" t="inlineStr">
        <is>
          <t>RFQ — no public price; placeholder pending vendor quotation</t>
        </is>
      </c>
    </row>
    <row r="14">
      <c r="A14" s="17" t="inlineStr">
        <is>
          <t>D10</t>
        </is>
      </c>
      <c r="B14" s="13" t="inlineStr">
        <is>
          <t>Liveness / face match / spoof detection</t>
        </is>
      </c>
      <c r="C14" s="18" t="inlineStr">
        <is>
          <t>INT-LOS-03</t>
        </is>
      </c>
      <c r="D14" s="18" t="inlineStr">
        <is>
          <t>kyc_aml</t>
        </is>
      </c>
      <c r="E14" s="18" t="inlineStr">
        <is>
          <t>per check</t>
        </is>
      </c>
      <c r="F14" s="19" t="n">
        <v>3</v>
      </c>
      <c r="G14" s="19" t="n">
        <v>7</v>
      </c>
      <c r="H14" s="19" t="n">
        <v>15</v>
      </c>
      <c r="I14" s="20" t="n">
        <v>1.2</v>
      </c>
      <c r="J14" s="18" t="inlineStr">
        <is>
          <t>Medium</t>
        </is>
      </c>
      <c r="K14" s="18" t="inlineStr">
        <is>
          <t>Yes</t>
        </is>
      </c>
      <c r="L14" s="14" t="inlineStr">
        <is>
          <t>Bundled into V-CIP by some vendors — avoid double counting.</t>
        </is>
      </c>
      <c r="M14" s="23" t="inlineStr">
        <is>
          <t>RFQ — no public price; placeholder pending vendor quotation</t>
        </is>
      </c>
    </row>
    <row r="15">
      <c r="A15" s="17" t="inlineStr">
        <is>
          <t>D11</t>
        </is>
      </c>
      <c r="B15" s="13" t="inlineStr">
        <is>
          <t>AML / PEP / sanctions / adverse media screen</t>
        </is>
      </c>
      <c r="C15" s="18" t="inlineStr">
        <is>
          <t>INT-LOS-09</t>
        </is>
      </c>
      <c r="D15" s="18" t="inlineStr">
        <is>
          <t>kyc_aml</t>
        </is>
      </c>
      <c r="E15" s="18" t="inlineStr">
        <is>
          <t>per screen</t>
        </is>
      </c>
      <c r="F15" s="19" t="n">
        <v>2</v>
      </c>
      <c r="G15" s="19" t="n">
        <v>6</v>
      </c>
      <c r="H15" s="19" t="n">
        <v>15</v>
      </c>
      <c r="I15" s="20" t="n">
        <v>1.02</v>
      </c>
      <c r="J15" s="18" t="inlineStr">
        <is>
          <t>Medium</t>
        </is>
      </c>
      <c r="K15" s="18" t="inlineStr">
        <is>
          <t>Yes</t>
        </is>
      </c>
      <c r="L15" s="14" t="inlineStr">
        <is>
          <t>Per subject screened; joint applicants and UBOs multiply this.</t>
        </is>
      </c>
      <c r="M15" s="23" t="inlineStr">
        <is>
          <t>RFQ — no public price; placeholder pending vendor quotation</t>
        </is>
      </c>
    </row>
    <row r="16">
      <c r="A16" s="17" t="inlineStr">
        <is>
          <t>D12</t>
        </is>
      </c>
      <c r="B16" s="13" t="inlineStr">
        <is>
          <t>KYB — GSTIN / Udyam / MCA entity verification</t>
        </is>
      </c>
      <c r="C16" s="18" t="inlineStr">
        <is>
          <t>INT-LOS-04</t>
        </is>
      </c>
      <c r="D16" s="18" t="inlineStr">
        <is>
          <t>kyc_aml</t>
        </is>
      </c>
      <c r="E16" s="18" t="inlineStr">
        <is>
          <t>per entity</t>
        </is>
      </c>
      <c r="F16" s="19" t="n">
        <v>5</v>
      </c>
      <c r="G16" s="19" t="n">
        <v>18</v>
      </c>
      <c r="H16" s="19" t="n">
        <v>45</v>
      </c>
      <c r="I16" s="20" t="n">
        <v>1.08</v>
      </c>
      <c r="J16" s="22" t="inlineStr">
        <is>
          <t>Low</t>
        </is>
      </c>
      <c r="K16" s="18" t="inlineStr">
        <is>
          <t>Yes</t>
        </is>
      </c>
      <c r="L16" s="14" t="inlineStr">
        <is>
          <t>INT-LOS-04 is Missing today; assumption is aggregator list price.</t>
        </is>
      </c>
      <c r="M16" s="23" t="inlineStr">
        <is>
          <t>RFQ — no public price; placeholder pending vendor quotation</t>
        </is>
      </c>
    </row>
    <row r="17">
      <c r="A17" s="17" t="inlineStr">
        <is>
          <t>D13</t>
        </is>
      </c>
      <c r="B17" s="13" t="inlineStr">
        <is>
          <t>Director / signatory / UBO verification</t>
        </is>
      </c>
      <c r="C17" s="18" t="inlineStr">
        <is>
          <t>INT-LOS-04</t>
        </is>
      </c>
      <c r="D17" s="18" t="inlineStr">
        <is>
          <t>kyc_aml</t>
        </is>
      </c>
      <c r="E17" s="18" t="inlineStr">
        <is>
          <t>per person</t>
        </is>
      </c>
      <c r="F17" s="19" t="n">
        <v>8</v>
      </c>
      <c r="G17" s="19" t="n">
        <v>20</v>
      </c>
      <c r="H17" s="19" t="n">
        <v>50</v>
      </c>
      <c r="I17" s="20" t="n">
        <v>1.05</v>
      </c>
      <c r="J17" s="22" t="inlineStr">
        <is>
          <t>Low</t>
        </is>
      </c>
      <c r="K17" s="18" t="inlineStr">
        <is>
          <t>Yes</t>
        </is>
      </c>
      <c r="L17" s="14" t="inlineStr">
        <is>
          <t>Scales with the number of directors/partners on the entity.</t>
        </is>
      </c>
      <c r="M17" s="23" t="inlineStr">
        <is>
          <t>RFQ — no public price; placeholder pending vendor quotation</t>
        </is>
      </c>
    </row>
    <row r="18">
      <c r="A18" s="17" t="inlineStr">
        <is>
          <t>D14</t>
        </is>
      </c>
      <c r="B18" s="13" t="inlineStr">
        <is>
          <t>Credit bureau — consumer (CIBIL/Experian/Equifax/CRIF)</t>
        </is>
      </c>
      <c r="C18" s="18" t="inlineStr">
        <is>
          <t>INT-LOS-06</t>
        </is>
      </c>
      <c r="D18" s="18" t="inlineStr">
        <is>
          <t>specialist_assessment</t>
        </is>
      </c>
      <c r="E18" s="18" t="inlineStr">
        <is>
          <t>per pull</t>
        </is>
      </c>
      <c r="F18" s="19" t="n">
        <v>30</v>
      </c>
      <c r="G18" s="19" t="n">
        <v>55</v>
      </c>
      <c r="H18" s="19" t="n">
        <v>90</v>
      </c>
      <c r="I18" s="20" t="n">
        <v>1.02</v>
      </c>
      <c r="J18" s="18" t="inlineStr">
        <is>
          <t>High</t>
        </is>
      </c>
      <c r="K18" s="18" t="inlineStr">
        <is>
          <t>Yes</t>
        </is>
      </c>
      <c r="L18" s="14" t="inlineStr">
        <is>
          <t>Volume-tiered. Multi-bureau strategy multiplies units, not unit price.</t>
        </is>
      </c>
      <c r="M18" s="23" t="inlineStr">
        <is>
          <t>RFQ — no public price; placeholder pending vendor quotation</t>
        </is>
      </c>
    </row>
    <row r="19">
      <c r="A19" s="17" t="inlineStr">
        <is>
          <t>D15</t>
        </is>
      </c>
      <c r="B19" s="13" t="inlineStr">
        <is>
          <t>Credit bureau — commercial (CMR / CCR)</t>
        </is>
      </c>
      <c r="C19" s="18" t="inlineStr">
        <is>
          <t>INT-LOS-06</t>
        </is>
      </c>
      <c r="D19" s="18" t="inlineStr">
        <is>
          <t>specialist_assessment</t>
        </is>
      </c>
      <c r="E19" s="18" t="inlineStr">
        <is>
          <t>per pull</t>
        </is>
      </c>
      <c r="F19" s="19" t="n">
        <v>150</v>
      </c>
      <c r="G19" s="19" t="n">
        <v>350</v>
      </c>
      <c r="H19" s="19" t="n">
        <v>700</v>
      </c>
      <c r="I19" s="20" t="n">
        <v>1.02</v>
      </c>
      <c r="J19" s="18" t="inlineStr">
        <is>
          <t>Medium</t>
        </is>
      </c>
      <c r="K19" s="18" t="inlineStr">
        <is>
          <t>Yes</t>
        </is>
      </c>
      <c r="L19" s="14" t="inlineStr">
        <is>
          <t>Commercial reports are 5-10x consumer. Dominates MSME cost per file.</t>
        </is>
      </c>
      <c r="M19" s="23" t="inlineStr">
        <is>
          <t>RFQ — no public price; placeholder pending vendor quotation</t>
        </is>
      </c>
    </row>
    <row r="20">
      <c r="A20" s="17" t="inlineStr">
        <is>
          <t>D16</t>
        </is>
      </c>
      <c r="B20" s="13" t="inlineStr">
        <is>
          <t>Account Aggregator consent + FI data fetch</t>
        </is>
      </c>
      <c r="C20" s="18" t="inlineStr">
        <is>
          <t>INT-LOS-07</t>
        </is>
      </c>
      <c r="D20" s="18" t="inlineStr">
        <is>
          <t>specialist_assessment</t>
        </is>
      </c>
      <c r="E20" s="18" t="inlineStr">
        <is>
          <t>per successful fetch</t>
        </is>
      </c>
      <c r="F20" s="19" t="n">
        <v>0.2</v>
      </c>
      <c r="G20" s="19" t="n">
        <v>3</v>
      </c>
      <c r="H20" s="19" t="n">
        <v>8</v>
      </c>
      <c r="I20" s="20" t="n">
        <v>1.45</v>
      </c>
      <c r="J20" s="18" t="inlineStr">
        <is>
          <t>Medium</t>
        </is>
      </c>
      <c r="K20" s="18" t="inlineStr">
        <is>
          <t>Yes</t>
        </is>
      </c>
      <c r="L20" s="14" t="inlineStr">
        <is>
          <t>Finvu public list: Rs 0.20-2.50 per fetch (or Rs 3-6 per active user-account), EXCLUDING FIP charges. Upper band carries the unknown FIP fee. Real driver is the retry multiplier, not the unit price.</t>
        </is>
      </c>
      <c r="M20" s="21" t="inlineStr">
        <is>
          <t>Finvu published pricing (procurement catalogue §B)</t>
        </is>
      </c>
    </row>
    <row r="21">
      <c r="A21" s="17" t="inlineStr">
        <is>
          <t>D17</t>
        </is>
      </c>
      <c r="B21" s="13" t="inlineStr">
        <is>
          <t>Bank statement analysis (parse, tamper, categorise)</t>
        </is>
      </c>
      <c r="C21" s="18" t="inlineStr">
        <is>
          <t>INT-LOS-08</t>
        </is>
      </c>
      <c r="D21" s="18" t="inlineStr">
        <is>
          <t>specialist_assessment</t>
        </is>
      </c>
      <c r="E21" s="18" t="inlineStr">
        <is>
          <t>per analysis</t>
        </is>
      </c>
      <c r="F21" s="19" t="n">
        <v>12</v>
      </c>
      <c r="G21" s="19" t="n">
        <v>35</v>
      </c>
      <c r="H21" s="19" t="n">
        <v>80</v>
      </c>
      <c r="I21" s="20" t="n">
        <v>1.1</v>
      </c>
      <c r="J21" s="18" t="inlineStr">
        <is>
          <t>Medium</t>
        </is>
      </c>
      <c r="K21" s="18" t="inlineStr">
        <is>
          <t>Yes</t>
        </is>
      </c>
      <c r="L21" s="14" t="inlineStr">
        <is>
          <t>INT-LOS-08 is Missing today. Priced per statement set, not per page.</t>
        </is>
      </c>
      <c r="M21" s="23" t="inlineStr">
        <is>
          <t>RFQ — no public price; placeholder pending vendor quotation</t>
        </is>
      </c>
    </row>
    <row r="22">
      <c r="A22" s="17" t="inlineStr">
        <is>
          <t>D18</t>
        </is>
      </c>
      <c r="B22" s="13" t="inlineStr">
        <is>
          <t>Income / employment evidence (EPFO, ITR, 26AS, GST)</t>
        </is>
      </c>
      <c r="C22" s="18" t="inlineStr">
        <is>
          <t>INT-LOS-05</t>
        </is>
      </c>
      <c r="D22" s="18" t="inlineStr">
        <is>
          <t>specialist_assessment</t>
        </is>
      </c>
      <c r="E22" s="18" t="inlineStr">
        <is>
          <t>per fetch</t>
        </is>
      </c>
      <c r="F22" s="19" t="n">
        <v>5</v>
      </c>
      <c r="G22" s="19" t="n">
        <v>15</v>
      </c>
      <c r="H22" s="19" t="n">
        <v>40</v>
      </c>
      <c r="I22" s="20" t="n">
        <v>1.2</v>
      </c>
      <c r="J22" s="22" t="inlineStr">
        <is>
          <t>Low</t>
        </is>
      </c>
      <c r="K22" s="18" t="inlineStr">
        <is>
          <t>Yes</t>
        </is>
      </c>
      <c r="L22" s="14" t="inlineStr">
        <is>
          <t>INT-LOS-05 is Missing today. Assumption is aggregator list price.</t>
        </is>
      </c>
      <c r="M22" s="23" t="inlineStr">
        <is>
          <t>RFQ — no public price; placeholder pending vendor quotation</t>
        </is>
      </c>
    </row>
    <row r="23">
      <c r="A23" s="17" t="inlineStr">
        <is>
          <t>D19</t>
        </is>
      </c>
      <c r="B23" s="13" t="inlineStr">
        <is>
          <t>OCR / document extraction + authenticity</t>
        </is>
      </c>
      <c r="C23" s="18" t="inlineStr">
        <is>
          <t>INT-LOS-10</t>
        </is>
      </c>
      <c r="D23" s="18" t="inlineStr">
        <is>
          <t>specialist_assessment</t>
        </is>
      </c>
      <c r="E23" s="18" t="inlineStr">
        <is>
          <t>per page</t>
        </is>
      </c>
      <c r="F23" s="19" t="n">
        <v>0.8</v>
      </c>
      <c r="G23" s="19" t="n">
        <v>2.5</v>
      </c>
      <c r="H23" s="19" t="n">
        <v>6</v>
      </c>
      <c r="I23" s="20" t="n">
        <v>1.05</v>
      </c>
      <c r="J23" s="18" t="inlineStr">
        <is>
          <t>Medium</t>
        </is>
      </c>
      <c r="K23" s="18" t="inlineStr">
        <is>
          <t>No</t>
        </is>
      </c>
      <c r="L23" s="14" t="inlineStr">
        <is>
          <t>Per page, not per document. Secured files run 40+ pages.</t>
        </is>
      </c>
      <c r="M23" s="23" t="inlineStr">
        <is>
          <t>RFQ — no public price; placeholder pending vendor quotation</t>
        </is>
      </c>
    </row>
    <row r="24">
      <c r="A24" s="17" t="inlineStr">
        <is>
          <t>D20</t>
        </is>
      </c>
      <c r="B24" s="13" t="inlineStr">
        <is>
          <t>Field investigation / personal discussion visit</t>
        </is>
      </c>
      <c r="C24" s="18" t="inlineStr">
        <is>
          <t>-</t>
        </is>
      </c>
      <c r="D24" s="18" t="inlineStr">
        <is>
          <t>specialist_assessment</t>
        </is>
      </c>
      <c r="E24" s="18" t="inlineStr">
        <is>
          <t>per visit</t>
        </is>
      </c>
      <c r="F24" s="19" t="n">
        <v>150</v>
      </c>
      <c r="G24" s="19" t="n">
        <v>350</v>
      </c>
      <c r="H24" s="19" t="n">
        <v>800</v>
      </c>
      <c r="I24" s="20" t="n">
        <v>1.1</v>
      </c>
      <c r="J24" s="22" t="inlineStr">
        <is>
          <t>Low</t>
        </is>
      </c>
      <c r="K24" s="18" t="inlineStr">
        <is>
          <t>Yes</t>
        </is>
      </c>
      <c r="L24" s="14" t="inlineStr">
        <is>
          <t>Human cost. Not an INT integration; included because it is real LOS cost.</t>
        </is>
      </c>
      <c r="M24" s="23" t="inlineStr">
        <is>
          <t>RFQ — no public price; placeholder pending vendor quotation</t>
        </is>
      </c>
    </row>
    <row r="25">
      <c r="A25" s="17" t="inlineStr">
        <is>
          <t>D21</t>
        </is>
      </c>
      <c r="B25" s="13" t="inlineStr">
        <is>
          <t>Property valuation report</t>
        </is>
      </c>
      <c r="C25" s="18" t="inlineStr">
        <is>
          <t>INT-LOS-13</t>
        </is>
      </c>
      <c r="D25" s="18" t="inlineStr">
        <is>
          <t>specialist_assessment</t>
        </is>
      </c>
      <c r="E25" s="18" t="inlineStr">
        <is>
          <t>per report</t>
        </is>
      </c>
      <c r="F25" s="19" t="n">
        <v>1500</v>
      </c>
      <c r="G25" s="19" t="n">
        <v>3000</v>
      </c>
      <c r="H25" s="19" t="n">
        <v>6000</v>
      </c>
      <c r="I25" s="20" t="n">
        <v>1.05</v>
      </c>
      <c r="J25" s="18" t="inlineStr">
        <is>
          <t>Medium</t>
        </is>
      </c>
      <c r="K25" s="18" t="inlineStr">
        <is>
          <t>Yes</t>
        </is>
      </c>
      <c r="L25" s="14" t="inlineStr">
        <is>
          <t>Empanelled valuer. Two valuations are common above a ticket threshold.</t>
        </is>
      </c>
      <c r="M25" s="23" t="inlineStr">
        <is>
          <t>RFQ — no public price; placeholder pending vendor quotation</t>
        </is>
      </c>
    </row>
    <row r="26">
      <c r="A26" s="17" t="inlineStr">
        <is>
          <t>D22</t>
        </is>
      </c>
      <c r="B26" s="13" t="inlineStr">
        <is>
          <t>Legal / title search report</t>
        </is>
      </c>
      <c r="C26" s="18" t="inlineStr">
        <is>
          <t>INT-LOS-13</t>
        </is>
      </c>
      <c r="D26" s="18" t="inlineStr">
        <is>
          <t>specialist_assessment</t>
        </is>
      </c>
      <c r="E26" s="18" t="inlineStr">
        <is>
          <t>per report</t>
        </is>
      </c>
      <c r="F26" s="19" t="n">
        <v>1500</v>
      </c>
      <c r="G26" s="19" t="n">
        <v>3500</v>
      </c>
      <c r="H26" s="19" t="n">
        <v>8000</v>
      </c>
      <c r="I26" s="20" t="n">
        <v>1.05</v>
      </c>
      <c r="J26" s="18" t="inlineStr">
        <is>
          <t>Medium</t>
        </is>
      </c>
      <c r="K26" s="18" t="inlineStr">
        <is>
          <t>Yes</t>
        </is>
      </c>
      <c r="L26" s="14" t="inlineStr">
        <is>
          <t>Empanelled advocate. Search period drives price.</t>
        </is>
      </c>
      <c r="M26" s="23" t="inlineStr">
        <is>
          <t>RFQ — no public price; placeholder pending vendor quotation</t>
        </is>
      </c>
    </row>
    <row r="27">
      <c r="A27" s="17" t="inlineStr">
        <is>
          <t>D23</t>
        </is>
      </c>
      <c r="B27" s="13" t="inlineStr">
        <is>
          <t>Asset / vehicle inspection and valuation</t>
        </is>
      </c>
      <c r="C27" s="18" t="inlineStr">
        <is>
          <t>INT-LOS-13</t>
        </is>
      </c>
      <c r="D27" s="18" t="inlineStr">
        <is>
          <t>specialist_assessment</t>
        </is>
      </c>
      <c r="E27" s="18" t="inlineStr">
        <is>
          <t>per inspection</t>
        </is>
      </c>
      <c r="F27" s="19" t="n">
        <v>300</v>
      </c>
      <c r="G27" s="19" t="n">
        <v>700</v>
      </c>
      <c r="H27" s="19" t="n">
        <v>1500</v>
      </c>
      <c r="I27" s="20" t="n">
        <v>1.05</v>
      </c>
      <c r="J27" s="22" t="inlineStr">
        <is>
          <t>Low</t>
        </is>
      </c>
      <c r="K27" s="18" t="inlineStr">
        <is>
          <t>Yes</t>
        </is>
      </c>
      <c r="L27" s="14" t="inlineStr">
        <is>
          <t>New asset = invoice check only; used asset = physical inspection.</t>
        </is>
      </c>
      <c r="M27" s="23" t="inlineStr">
        <is>
          <t>RFQ — no public price; placeholder pending vendor quotation</t>
        </is>
      </c>
    </row>
    <row r="28">
      <c r="A28" s="17" t="inlineStr">
        <is>
          <t>D24</t>
        </is>
      </c>
      <c r="B28" s="13" t="inlineStr">
        <is>
          <t>Gold assay + dual-control custody handling</t>
        </is>
      </c>
      <c r="C28" s="18" t="inlineStr">
        <is>
          <t>INT-LOS-13</t>
        </is>
      </c>
      <c r="D28" s="18" t="inlineStr">
        <is>
          <t>specialist_assessment</t>
        </is>
      </c>
      <c r="E28" s="18" t="inlineStr">
        <is>
          <t>per pledge</t>
        </is>
      </c>
      <c r="F28" s="19" t="n">
        <v>100</v>
      </c>
      <c r="G28" s="19" t="n">
        <v>250</v>
      </c>
      <c r="H28" s="19" t="n">
        <v>500</v>
      </c>
      <c r="I28" s="20" t="n">
        <v>1.02</v>
      </c>
      <c r="J28" s="22" t="inlineStr">
        <is>
          <t>Low</t>
        </is>
      </c>
      <c r="K28" s="18" t="inlineStr">
        <is>
          <t>Yes</t>
        </is>
      </c>
      <c r="L28" s="14" t="inlineStr">
        <is>
          <t>Assayer time + vault/custody handling, not the storage cost itself.</t>
        </is>
      </c>
      <c r="M28" s="23" t="inlineStr">
        <is>
          <t>RFQ — no public price; placeholder pending vendor quotation</t>
        </is>
      </c>
    </row>
    <row r="29">
      <c r="A29" s="17" t="inlineStr">
        <is>
          <t>D25</t>
        </is>
      </c>
      <c r="B29" s="13" t="inlineStr">
        <is>
          <t>Decision engine evaluation (per-tenant Rust runtime)</t>
        </is>
      </c>
      <c r="C29" s="18" t="inlineStr">
        <is>
          <t>-</t>
        </is>
      </c>
      <c r="D29" s="18" t="inlineStr">
        <is>
          <t>credit_decision</t>
        </is>
      </c>
      <c r="E29" s="18" t="inlineStr">
        <is>
          <t>per evaluation</t>
        </is>
      </c>
      <c r="F29" s="19" t="n">
        <v>0.05</v>
      </c>
      <c r="G29" s="19" t="n">
        <v>0.15</v>
      </c>
      <c r="H29" s="19" t="n">
        <v>0.4</v>
      </c>
      <c r="I29" s="20" t="n">
        <v>1</v>
      </c>
      <c r="J29" s="18" t="inlineStr">
        <is>
          <t>Medium</t>
        </is>
      </c>
      <c r="K29" s="18" t="inlineStr">
        <is>
          <t>No</t>
        </is>
      </c>
      <c r="L29" s="14" t="inlineStr">
        <is>
          <t>Marginal compute only. The runtime's fixed cost sits in 6_Cloud_Cost.</t>
        </is>
      </c>
      <c r="M29" s="23" t="inlineStr">
        <is>
          <t>RFQ — no public price; placeholder pending vendor quotation</t>
        </is>
      </c>
    </row>
    <row r="30">
      <c r="A30" s="17" t="inlineStr">
        <is>
          <t>D26</t>
        </is>
      </c>
      <c r="B30" s="13" t="inlineStr">
        <is>
          <t>Governed AI / agent tokens and actions</t>
        </is>
      </c>
      <c r="C30" s="18" t="inlineStr">
        <is>
          <t>INT-RSK-07</t>
        </is>
      </c>
      <c r="D30" s="18" t="inlineStr">
        <is>
          <t>multiple</t>
        </is>
      </c>
      <c r="E30" s="18" t="inlineStr">
        <is>
          <t>per application</t>
        </is>
      </c>
      <c r="F30" s="19" t="n">
        <v>1</v>
      </c>
      <c r="G30" s="19" t="n">
        <v>6</v>
      </c>
      <c r="H30" s="19" t="n">
        <v>25</v>
      </c>
      <c r="I30" s="20" t="n">
        <v>1</v>
      </c>
      <c r="J30" s="22" t="inlineStr">
        <is>
          <t>Low</t>
        </is>
      </c>
      <c r="K30" s="18" t="inlineStr">
        <is>
          <t>No</t>
        </is>
      </c>
      <c r="L30" s="14" t="inlineStr">
        <is>
          <t>Metered per INT-RSK-07. Rises steeply if agents summarise documents.</t>
        </is>
      </c>
      <c r="M30" s="23" t="inlineStr">
        <is>
          <t>RFQ — no public price; placeholder pending vendor quotation</t>
        </is>
      </c>
    </row>
    <row r="31">
      <c r="A31" s="17" t="inlineStr">
        <is>
          <t>D27</t>
        </is>
      </c>
      <c r="B31" s="13" t="inlineStr">
        <is>
          <t>KFS + sanction letter generation and dispatch</t>
        </is>
      </c>
      <c r="C31" s="18" t="inlineStr">
        <is>
          <t>INT-LOS-17</t>
        </is>
      </c>
      <c r="D31" s="18" t="inlineStr">
        <is>
          <t>kfs_acceptance</t>
        </is>
      </c>
      <c r="E31" s="18" t="inlineStr">
        <is>
          <t>per dispatch</t>
        </is>
      </c>
      <c r="F31" s="19" t="n">
        <v>0.3</v>
      </c>
      <c r="G31" s="19" t="n">
        <v>1.2</v>
      </c>
      <c r="H31" s="19" t="n">
        <v>3</v>
      </c>
      <c r="I31" s="20" t="n">
        <v>1.1</v>
      </c>
      <c r="J31" s="18" t="inlineStr">
        <is>
          <t>Medium</t>
        </is>
      </c>
      <c r="K31" s="18" t="inlineStr">
        <is>
          <t>No</t>
        </is>
      </c>
      <c r="L31" s="14" t="inlineStr">
        <is>
          <t>Multi-language dispatch + proof of delivery. Regulatorily mandatory.</t>
        </is>
      </c>
      <c r="M31" s="23" t="inlineStr">
        <is>
          <t>RFQ — no public price; placeholder pending vendor quotation</t>
        </is>
      </c>
    </row>
    <row r="32">
      <c r="A32" s="17" t="inlineStr">
        <is>
          <t>D28</t>
        </is>
      </c>
      <c r="B32" s="13" t="inlineStr">
        <is>
          <t>eSign signature (Aadhaar eSign / DSC)</t>
        </is>
      </c>
      <c r="C32" s="18" t="inlineStr">
        <is>
          <t>INT-LOS-11</t>
        </is>
      </c>
      <c r="D32" s="18" t="inlineStr">
        <is>
          <t>contracting</t>
        </is>
      </c>
      <c r="E32" s="18" t="inlineStr">
        <is>
          <t>per signature</t>
        </is>
      </c>
      <c r="F32" s="19" t="n">
        <v>8</v>
      </c>
      <c r="G32" s="19" t="n">
        <v>18</v>
      </c>
      <c r="H32" s="19" t="n">
        <v>35</v>
      </c>
      <c r="I32" s="20" t="n">
        <v>1.2</v>
      </c>
      <c r="J32" s="18" t="inlineStr">
        <is>
          <t>High</t>
        </is>
      </c>
      <c r="K32" s="18" t="inlineStr">
        <is>
          <t>Yes</t>
        </is>
      </c>
      <c r="L32" s="14" t="inlineStr">
        <is>
          <t>PER SIGNATURE, not per document. Co-borrowers/guarantors multiply.</t>
        </is>
      </c>
      <c r="M32" s="23" t="inlineStr">
        <is>
          <t>RFQ — no public price; placeholder pending vendor quotation</t>
        </is>
      </c>
    </row>
    <row r="33">
      <c r="A33" s="17" t="inlineStr">
        <is>
          <t>D29</t>
        </is>
      </c>
      <c r="B33" s="13" t="inlineStr">
        <is>
          <t>eStamp facilitation fee (duty itself excluded)</t>
        </is>
      </c>
      <c r="C33" s="18" t="inlineStr">
        <is>
          <t>INT-LOS-11</t>
        </is>
      </c>
      <c r="D33" s="18" t="inlineStr">
        <is>
          <t>contracting</t>
        </is>
      </c>
      <c r="E33" s="18" t="inlineStr">
        <is>
          <t>per instrument</t>
        </is>
      </c>
      <c r="F33" s="19" t="n">
        <v>10</v>
      </c>
      <c r="G33" s="19" t="n">
        <v>25</v>
      </c>
      <c r="H33" s="19" t="n">
        <v>60</v>
      </c>
      <c r="I33" s="20" t="n">
        <v>1.05</v>
      </c>
      <c r="J33" s="18" t="inlineStr">
        <is>
          <t>Medium</t>
        </is>
      </c>
      <c r="K33" s="18" t="inlineStr">
        <is>
          <t>Yes</t>
        </is>
      </c>
      <c r="L33" s="14" t="inlineStr">
        <is>
          <t>Statutory stamp duty is the borrower's/lender's, not a platform cost.</t>
        </is>
      </c>
      <c r="M33" s="23" t="inlineStr">
        <is>
          <t>RFQ — no public price; placeholder pending vendor quotation</t>
        </is>
      </c>
    </row>
    <row r="34">
      <c r="A34" s="17" t="inlineStr">
        <is>
          <t>D30</t>
        </is>
      </c>
      <c r="B34" s="13" t="inlineStr">
        <is>
          <t>CERSAI security-interest registration</t>
        </is>
      </c>
      <c r="C34" s="18" t="inlineStr">
        <is>
          <t>INT-LOS-14</t>
        </is>
      </c>
      <c r="D34" s="18" t="inlineStr">
        <is>
          <t>contracting</t>
        </is>
      </c>
      <c r="E34" s="18" t="inlineStr">
        <is>
          <t>per filing</t>
        </is>
      </c>
      <c r="F34" s="19" t="n">
        <v>50</v>
      </c>
      <c r="G34" s="19" t="n">
        <v>100</v>
      </c>
      <c r="H34" s="19" t="n">
        <v>250</v>
      </c>
      <c r="I34" s="20" t="n">
        <v>1.05</v>
      </c>
      <c r="J34" s="18" t="inlineStr">
        <is>
          <t>Medium</t>
        </is>
      </c>
      <c r="K34" s="18" t="inlineStr">
        <is>
          <t>Yes</t>
        </is>
      </c>
      <c r="L34" s="14" t="inlineStr">
        <is>
          <t>Statutory filing fee varies by loan amount and security type.</t>
        </is>
      </c>
      <c r="M34" s="23" t="inlineStr">
        <is>
          <t>RFQ — no public price; placeholder pending vendor quotation</t>
        </is>
      </c>
    </row>
    <row r="35">
      <c r="A35" s="17" t="inlineStr">
        <is>
          <t>D31</t>
        </is>
      </c>
      <c r="B35" s="13" t="inlineStr">
        <is>
          <t>Insurance bind / policy issuance handling</t>
        </is>
      </c>
      <c r="C35" s="18" t="inlineStr">
        <is>
          <t>INT-LOS-14</t>
        </is>
      </c>
      <c r="D35" s="18" t="inlineStr">
        <is>
          <t>contracting</t>
        </is>
      </c>
      <c r="E35" s="18" t="inlineStr">
        <is>
          <t>per policy</t>
        </is>
      </c>
      <c r="F35" s="19" t="n">
        <v>20</v>
      </c>
      <c r="G35" s="19" t="n">
        <v>60</v>
      </c>
      <c r="H35" s="19" t="n">
        <v>150</v>
      </c>
      <c r="I35" s="20" t="n">
        <v>1.05</v>
      </c>
      <c r="J35" s="22" t="inlineStr">
        <is>
          <t>Low</t>
        </is>
      </c>
      <c r="K35" s="18" t="inlineStr">
        <is>
          <t>Yes</t>
        </is>
      </c>
      <c r="L35" s="14" t="inlineStr">
        <is>
          <t>Handling fee only; premium is a borrower cost, not platform cost.</t>
        </is>
      </c>
      <c r="M35" s="23" t="inlineStr">
        <is>
          <t>RFQ — no public price; placeholder pending vendor quotation</t>
        </is>
      </c>
    </row>
    <row r="36">
      <c r="A36" s="17" t="inlineStr">
        <is>
          <t>D32</t>
        </is>
      </c>
      <c r="B36" s="13" t="inlineStr">
        <is>
          <t>Penny-drop / penny-less bank account verification</t>
        </is>
      </c>
      <c r="C36" s="18" t="inlineStr">
        <is>
          <t>INT-LOS-12</t>
        </is>
      </c>
      <c r="D36" s="18" t="inlineStr">
        <is>
          <t>disbursement</t>
        </is>
      </c>
      <c r="E36" s="18" t="inlineStr">
        <is>
          <t>per verification</t>
        </is>
      </c>
      <c r="F36" s="19" t="n">
        <v>2</v>
      </c>
      <c r="G36" s="19" t="n">
        <v>5</v>
      </c>
      <c r="H36" s="19" t="n">
        <v>10</v>
      </c>
      <c r="I36" s="20" t="n">
        <v>1.15</v>
      </c>
      <c r="J36" s="18" t="inlineStr">
        <is>
          <t>High</t>
        </is>
      </c>
      <c r="K36" s="18" t="inlineStr">
        <is>
          <t>Yes</t>
        </is>
      </c>
      <c r="L36" s="14" t="inlineStr">
        <is>
          <t>Re-run on every beneficiary change; retries matter.</t>
        </is>
      </c>
      <c r="M36" s="23" t="inlineStr">
        <is>
          <t>RFQ — no public price; placeholder pending vendor quotation</t>
        </is>
      </c>
    </row>
    <row r="37">
      <c r="A37" s="17" t="inlineStr">
        <is>
          <t>D33</t>
        </is>
      </c>
      <c r="B37" s="13" t="inlineStr">
        <is>
          <t>Disbursement payout (NEFT / RTGS / IMPS API)</t>
        </is>
      </c>
      <c r="C37" s="18" t="inlineStr">
        <is>
          <t>INT-LOS-15</t>
        </is>
      </c>
      <c r="D37" s="18" t="inlineStr">
        <is>
          <t>disbursement</t>
        </is>
      </c>
      <c r="E37" s="18" t="inlineStr">
        <is>
          <t>per payout</t>
        </is>
      </c>
      <c r="F37" s="19" t="n">
        <v>2</v>
      </c>
      <c r="G37" s="19" t="n">
        <v>10</v>
      </c>
      <c r="H37" s="19" t="n">
        <v>20</v>
      </c>
      <c r="I37" s="20" t="n">
        <v>1.05</v>
      </c>
      <c r="J37" s="18" t="inlineStr">
        <is>
          <t>Medium</t>
        </is>
      </c>
      <c r="K37" s="18" t="inlineStr">
        <is>
          <t>Yes</t>
        </is>
      </c>
      <c r="L37" s="14" t="inlineStr">
        <is>
          <t>Cashfree public list: virtual-account IMPS/NEFT/RTGS Rs 20/transaction. Negotiated payout rails run lower. INT-LOS-15 adapter is Missing today.</t>
        </is>
      </c>
      <c r="M37" s="21" t="inlineStr">
        <is>
          <t>Cashfree published pricing (procurement catalogue §C)</t>
        </is>
      </c>
    </row>
    <row r="38">
      <c r="A38" s="17" t="inlineStr">
        <is>
          <t>D34</t>
        </is>
      </c>
      <c r="B38" s="13" t="inlineStr">
        <is>
          <t>Escrow / co-lending funding instruction</t>
        </is>
      </c>
      <c r="C38" s="18" t="inlineStr">
        <is>
          <t>INT-LOS-16</t>
        </is>
      </c>
      <c r="D38" s="18" t="inlineStr">
        <is>
          <t>disbursement</t>
        </is>
      </c>
      <c r="E38" s="18" t="inlineStr">
        <is>
          <t>per instruction</t>
        </is>
      </c>
      <c r="F38" s="19" t="n">
        <v>5</v>
      </c>
      <c r="G38" s="19" t="n">
        <v>20</v>
      </c>
      <c r="H38" s="19" t="n">
        <v>50</v>
      </c>
      <c r="I38" s="20" t="n">
        <v>1.05</v>
      </c>
      <c r="J38" s="22" t="inlineStr">
        <is>
          <t>Low</t>
        </is>
      </c>
      <c r="K38" s="18" t="inlineStr">
        <is>
          <t>Yes</t>
        </is>
      </c>
      <c r="L38" s="14" t="inlineStr">
        <is>
          <t>Co-lending only. Exact-paise split adds a reconciliation instruction.</t>
        </is>
      </c>
      <c r="M38" s="23" t="inlineStr">
        <is>
          <t>RFQ — no public price; placeholder pending vendor quotation</t>
        </is>
      </c>
    </row>
    <row r="39">
      <c r="A39" s="17" t="inlineStr">
        <is>
          <t>D35</t>
        </is>
      </c>
      <c r="B39" s="13" t="inlineStr">
        <is>
          <t>eNACH / eMandate registration (UMRN)</t>
        </is>
      </c>
      <c r="C39" s="18" t="inlineStr">
        <is>
          <t>INT-LMS-02</t>
        </is>
      </c>
      <c r="D39" s="18" t="inlineStr">
        <is>
          <t>disbursement</t>
        </is>
      </c>
      <c r="E39" s="18" t="inlineStr">
        <is>
          <t>per mandate</t>
        </is>
      </c>
      <c r="F39" s="19" t="n">
        <v>5</v>
      </c>
      <c r="G39" s="19" t="n">
        <v>14</v>
      </c>
      <c r="H39" s="19" t="n">
        <v>30</v>
      </c>
      <c r="I39" s="20" t="n">
        <v>1.25</v>
      </c>
      <c r="J39" s="18" t="inlineStr">
        <is>
          <t>Medium</t>
        </is>
      </c>
      <c r="K39" s="18" t="inlineStr">
        <is>
          <t>Yes</t>
        </is>
      </c>
      <c r="L39" s="14" t="inlineStr">
        <is>
          <t>Set up at LOS-&gt;LMS handoff; NPCI + sponsor bank fee.</t>
        </is>
      </c>
      <c r="M39" s="23" t="inlineStr">
        <is>
          <t>RFQ — no public price; placeholder pending vendor quotation</t>
        </is>
      </c>
    </row>
    <row r="40">
      <c r="A40" s="17" t="inlineStr">
        <is>
          <t>D36</t>
        </is>
      </c>
      <c r="B40" s="13" t="inlineStr">
        <is>
          <t>Offline field work-pack sync and replay</t>
        </is>
      </c>
      <c r="C40" s="18" t="inlineStr">
        <is>
          <t>INT-CUS-07</t>
        </is>
      </c>
      <c r="D40" s="18" t="inlineStr">
        <is>
          <t>application_capture</t>
        </is>
      </c>
      <c r="E40" s="18" t="inlineStr">
        <is>
          <t>per work pack</t>
        </is>
      </c>
      <c r="F40" s="19" t="n">
        <v>0.5</v>
      </c>
      <c r="G40" s="19" t="n">
        <v>2</v>
      </c>
      <c r="H40" s="19" t="n">
        <v>6</v>
      </c>
      <c r="I40" s="20" t="n">
        <v>1.15</v>
      </c>
      <c r="J40" s="22" t="inlineStr">
        <is>
          <t>Low</t>
        </is>
      </c>
      <c r="K40" s="18" t="inlineStr">
        <is>
          <t>No</t>
        </is>
      </c>
      <c r="L40" s="14" t="inlineStr">
        <is>
          <t>Encrypted work-pack lease, mutation/media replay and conflict resolution. Field journeys only; internal envelope controls exist, no external adapter.</t>
        </is>
      </c>
      <c r="M40" s="23" t="inlineStr">
        <is>
          <t>RFQ — no public price; placeholder pending vendor quotation</t>
        </is>
      </c>
    </row>
    <row r="41">
      <c r="A41" s="17" t="inlineStr">
        <is>
          <t>D37</t>
        </is>
      </c>
      <c r="B41" s="13" t="inlineStr">
        <is>
          <t>Asset registry verification (VAHAN/RC, depository lien)</t>
        </is>
      </c>
      <c r="C41" s="18" t="inlineStr">
        <is>
          <t>INT-COLAT-01</t>
        </is>
      </c>
      <c r="D41" s="18" t="inlineStr">
        <is>
          <t>specialist_assessment</t>
        </is>
      </c>
      <c r="E41" s="18" t="inlineStr">
        <is>
          <t>per asset</t>
        </is>
      </c>
      <c r="F41" s="19" t="n">
        <v>10</v>
      </c>
      <c r="G41" s="19" t="n">
        <v>30</v>
      </c>
      <c r="H41" s="19" t="n">
        <v>80</v>
      </c>
      <c r="I41" s="20" t="n">
        <v>1.05</v>
      </c>
      <c r="J41" s="22" t="inlineStr">
        <is>
          <t>Low</t>
        </is>
      </c>
      <c r="K41" s="18" t="inlineStr">
        <is>
          <t>Yes</t>
        </is>
      </c>
      <c r="L41" s="14" t="inlineStr">
        <is>
          <t>Vehicle RC/VAHAN, depository lien or invoice validation at origination. Distinct from the physical inspection in D23.</t>
        </is>
      </c>
      <c r="M41" s="23" t="inlineStr">
        <is>
          <t>RFQ — no public price; placeholder pending vendor quotation</t>
        </is>
      </c>
    </row>
    <row r="42">
      <c r="A42" s="17" t="inlineStr">
        <is>
          <t>D38</t>
        </is>
      </c>
      <c r="B42" s="13" t="inlineStr">
        <is>
          <t>Agent knowledge retrieval (vector query)</t>
        </is>
      </c>
      <c r="C42" s="18" t="inlineStr">
        <is>
          <t>INT-RSK-08</t>
        </is>
      </c>
      <c r="D42" s="18" t="inlineStr">
        <is>
          <t>multiple</t>
        </is>
      </c>
      <c r="E42" s="18" t="inlineStr">
        <is>
          <t>per application</t>
        </is>
      </c>
      <c r="F42" s="19" t="n">
        <v>0.5</v>
      </c>
      <c r="G42" s="19" t="n">
        <v>3</v>
      </c>
      <c r="H42" s="19" t="n">
        <v>12</v>
      </c>
      <c r="I42" s="20" t="n">
        <v>1</v>
      </c>
      <c r="J42" s="22" t="inlineStr">
        <is>
          <t>Low</t>
        </is>
      </c>
      <c r="K42" s="18" t="inlineStr">
        <is>
          <t>No</t>
        </is>
      </c>
      <c r="L42" s="14" t="inlineStr">
        <is>
          <t>Retrieval queries against the approved knowledge index. No retrieval or vector runtime exists yet; index storage is recurring (see R-series).</t>
        </is>
      </c>
      <c r="M42" s="23" t="inlineStr">
        <is>
          <t>RFQ — no public price; placeholder pending vendor quotation</t>
        </is>
      </c>
    </row>
    <row r="43">
      <c r="A43" s="24" t="inlineStr">
        <is>
          <t>S01</t>
        </is>
      </c>
      <c r="B43" s="13" t="inlineStr">
        <is>
          <t>CBS / GL posting and acknowledgement</t>
        </is>
      </c>
      <c r="C43" s="18" t="inlineStr">
        <is>
          <t>INT-LMS-01</t>
        </is>
      </c>
      <c r="D43" s="18" t="inlineStr">
        <is>
          <t>per_loan_month</t>
        </is>
      </c>
      <c r="E43" s="18" t="inlineStr">
        <is>
          <t>per loan-month</t>
        </is>
      </c>
      <c r="F43" s="19" t="n">
        <v>0.5</v>
      </c>
      <c r="G43" s="19" t="n">
        <v>1.5</v>
      </c>
      <c r="H43" s="19" t="n">
        <v>4</v>
      </c>
      <c r="I43" s="20" t="n">
        <v>1</v>
      </c>
      <c r="J43" s="22" t="inlineStr">
        <is>
          <t>Low</t>
        </is>
      </c>
      <c r="K43" s="18" t="inlineStr">
        <is>
          <t>No</t>
        </is>
      </c>
      <c r="L43" s="14" t="inlineStr">
        <is>
          <t>Journal submit, ack/reject, reversal and trial-balance totals against the tenant's core system.</t>
        </is>
      </c>
      <c r="M43" s="23" t="inlineStr">
        <is>
          <t>RFQ — no public price; placeholder pending vendor quotation</t>
        </is>
      </c>
    </row>
    <row r="44">
      <c r="A44" s="24" t="inlineStr">
        <is>
          <t>S02</t>
        </is>
      </c>
      <c r="B44" s="13" t="inlineStr">
        <is>
          <t>NACH / eNACH presentment</t>
        </is>
      </c>
      <c r="C44" s="18" t="inlineStr">
        <is>
          <t>INT-LMS-03</t>
        </is>
      </c>
      <c r="D44" s="18" t="inlineStr">
        <is>
          <t>per_emi</t>
        </is>
      </c>
      <c r="E44" s="18" t="inlineStr">
        <is>
          <t>per presentment</t>
        </is>
      </c>
      <c r="F44" s="19" t="n">
        <v>1</v>
      </c>
      <c r="G44" s="19" t="n">
        <v>3</v>
      </c>
      <c r="H44" s="19" t="n">
        <v>6</v>
      </c>
      <c r="I44" s="20" t="n">
        <v>1</v>
      </c>
      <c r="J44" s="18" t="inlineStr">
        <is>
          <t>Medium</t>
        </is>
      </c>
      <c r="K44" s="18" t="inlineStr">
        <is>
          <t>Yes</t>
        </is>
      </c>
      <c r="L44" s="14" t="inlineStr">
        <is>
          <t>NPCI charge plus sponsor-bank markup. Re-presentment after a bounce is charged again — see the bounce multiplier.</t>
        </is>
      </c>
      <c r="M44" s="23" t="inlineStr">
        <is>
          <t>RFQ — no public price; placeholder pending vendor quotation</t>
        </is>
      </c>
    </row>
    <row r="45">
      <c r="A45" s="24" t="inlineStr">
        <is>
          <t>S03</t>
        </is>
      </c>
      <c r="B45" s="13" t="inlineStr">
        <is>
          <t>Bounce / return handling</t>
        </is>
      </c>
      <c r="C45" s="18" t="inlineStr">
        <is>
          <t>INT-LMS-03</t>
        </is>
      </c>
      <c r="D45" s="18" t="inlineStr">
        <is>
          <t>per_bounced_emi</t>
        </is>
      </c>
      <c r="E45" s="18" t="inlineStr">
        <is>
          <t>per return</t>
        </is>
      </c>
      <c r="F45" s="19" t="n">
        <v>10</v>
      </c>
      <c r="G45" s="19" t="n">
        <v>25</v>
      </c>
      <c r="H45" s="19" t="n">
        <v>60</v>
      </c>
      <c r="I45" s="20" t="n">
        <v>1</v>
      </c>
      <c r="J45" s="18" t="inlineStr">
        <is>
          <t>Medium</t>
        </is>
      </c>
      <c r="K45" s="18" t="inlineStr">
        <is>
          <t>Yes</t>
        </is>
      </c>
      <c r="L45" s="14" t="inlineStr">
        <is>
          <t>Return processing and ops handling. The borrower-facing bounce charge is tenant REVENUE and is deliberately not netted here.</t>
        </is>
      </c>
      <c r="M45" s="23" t="inlineStr">
        <is>
          <t>RFQ — no public price; placeholder pending vendor quotation</t>
        </is>
      </c>
    </row>
    <row r="46">
      <c r="A46" s="24" t="inlineStr">
        <is>
          <t>S04</t>
        </is>
      </c>
      <c r="B46" s="13" t="inlineStr">
        <is>
          <t>Receipt matching and reconciliation (UTR)</t>
        </is>
      </c>
      <c r="C46" s="18" t="inlineStr">
        <is>
          <t>INT-LMS-04</t>
        </is>
      </c>
      <c r="D46" s="18" t="inlineStr">
        <is>
          <t>per_emi</t>
        </is>
      </c>
      <c r="E46" s="18" t="inlineStr">
        <is>
          <t>per receipt</t>
        </is>
      </c>
      <c r="F46" s="19" t="n">
        <v>0.3</v>
      </c>
      <c r="G46" s="19" t="n">
        <v>0.8</v>
      </c>
      <c r="H46" s="19" t="n">
        <v>2</v>
      </c>
      <c r="I46" s="20" t="n">
        <v>1</v>
      </c>
      <c r="J46" s="22" t="inlineStr">
        <is>
          <t>Low</t>
        </is>
      </c>
      <c r="K46" s="18" t="inlineStr">
        <is>
          <t>No</t>
        </is>
      </c>
      <c r="L46" s="14" t="inlineStr">
        <is>
          <t>Rail callback/file, bank statement and UTR match. Unmatched receipts drive an exception queue this model does not size.</t>
        </is>
      </c>
      <c r="M46" s="23" t="inlineStr">
        <is>
          <t>RFQ — no public price; placeholder pending vendor quotation</t>
        </is>
      </c>
    </row>
    <row r="47">
      <c r="A47" s="24" t="inlineStr">
        <is>
          <t>S05</t>
        </is>
      </c>
      <c r="B47" s="13" t="inlineStr">
        <is>
          <t>Servicing notices (EMI, rate, penal, statement)</t>
        </is>
      </c>
      <c r="C47" s="18" t="inlineStr">
        <is>
          <t>INT-LMS-06</t>
        </is>
      </c>
      <c r="D47" s="18" t="inlineStr">
        <is>
          <t>per_loan_month</t>
        </is>
      </c>
      <c r="E47" s="18" t="inlineStr">
        <is>
          <t>per loan-month</t>
        </is>
      </c>
      <c r="F47" s="19" t="n">
        <v>0.4</v>
      </c>
      <c r="G47" s="19" t="n">
        <v>1</v>
      </c>
      <c r="H47" s="19" t="n">
        <v>2.5</v>
      </c>
      <c r="I47" s="20" t="n">
        <v>1</v>
      </c>
      <c r="J47" s="18" t="inlineStr">
        <is>
          <t>Medium</t>
        </is>
      </c>
      <c r="K47" s="18" t="inlineStr">
        <is>
          <t>No</t>
        </is>
      </c>
      <c r="L47" s="14" t="inlineStr">
        <is>
          <t>2-3 regulated communications per loan-month across SMS/email/WhatsApp. Volume is regulatory, not discretionary.</t>
        </is>
      </c>
      <c r="M47" s="23" t="inlineStr">
        <is>
          <t>RFQ — no public price; placeholder pending vendor quotation</t>
        </is>
      </c>
    </row>
    <row r="48">
      <c r="A48" s="24" t="inlineStr">
        <is>
          <t>S06</t>
        </is>
      </c>
      <c r="B48" s="13" t="inlineStr">
        <is>
          <t>Statement render, vault store and retention</t>
        </is>
      </c>
      <c r="C48" s="18" t="inlineStr">
        <is>
          <t>INT-LMS-07</t>
        </is>
      </c>
      <c r="D48" s="18" t="inlineStr">
        <is>
          <t>per_loan_month</t>
        </is>
      </c>
      <c r="E48" s="18" t="inlineStr">
        <is>
          <t>per loan-month</t>
        </is>
      </c>
      <c r="F48" s="19" t="n">
        <v>0.2</v>
      </c>
      <c r="G48" s="19" t="n">
        <v>0.5</v>
      </c>
      <c r="H48" s="19" t="n">
        <v>1.5</v>
      </c>
      <c r="I48" s="20" t="n">
        <v>1</v>
      </c>
      <c r="J48" s="22" t="inlineStr">
        <is>
          <t>Low</t>
        </is>
      </c>
      <c r="K48" s="18" t="inlineStr">
        <is>
          <t>No</t>
        </is>
      </c>
      <c r="L48" s="14" t="inlineStr">
        <is>
          <t>DMS render/store/version. Retention compounds — the storage tail is modelled on the cloud sheet.</t>
        </is>
      </c>
      <c r="M48" s="23" t="inlineStr">
        <is>
          <t>RFQ — no public price; placeholder pending vendor quotation</t>
        </is>
      </c>
    </row>
    <row r="49">
      <c r="A49" s="24" t="inlineStr">
        <is>
          <t>S07</t>
        </is>
      </c>
      <c r="B49" s="13" t="inlineStr">
        <is>
          <t>CIC credit furnishing (monthly submission)</t>
        </is>
      </c>
      <c r="C49" s="18" t="inlineStr">
        <is>
          <t>INT-LMS-08</t>
        </is>
      </c>
      <c r="D49" s="18" t="inlineStr">
        <is>
          <t>per_loan_month</t>
        </is>
      </c>
      <c r="E49" s="18" t="inlineStr">
        <is>
          <t>per account-submission</t>
        </is>
      </c>
      <c r="F49" s="19" t="n">
        <v>0.3</v>
      </c>
      <c r="G49" s="19" t="n">
        <v>0.8</v>
      </c>
      <c r="H49" s="19" t="n">
        <v>2</v>
      </c>
      <c r="I49" s="20" t="n">
        <v>1.05</v>
      </c>
      <c r="J49" s="18" t="inlineStr">
        <is>
          <t>Medium</t>
        </is>
      </c>
      <c r="K49" s="18" t="inlineStr">
        <is>
          <t>Yes</t>
        </is>
      </c>
      <c r="L49" s="14" t="inlineStr">
        <is>
          <t>Monthly submission to all four CICs plus row-reject correction and resubmit. Mandatory, per account, for the whole life of the loan.</t>
        </is>
      </c>
      <c r="M49" s="23" t="inlineStr">
        <is>
          <t>RFQ — no public price; placeholder pending vendor quotation</t>
        </is>
      </c>
    </row>
    <row r="50">
      <c r="A50" s="24" t="inlineStr">
        <is>
          <t>S08</t>
        </is>
      </c>
      <c r="B50" s="13" t="inlineStr">
        <is>
          <t>Ongoing KYC refresh / AA re-consent</t>
        </is>
      </c>
      <c r="C50" s="18" t="inlineStr">
        <is>
          <t>INT-LMS-09</t>
        </is>
      </c>
      <c r="D50" s="18" t="inlineStr">
        <is>
          <t>per_loan_year</t>
        </is>
      </c>
      <c r="E50" s="18" t="inlineStr">
        <is>
          <t>per loan-year</t>
        </is>
      </c>
      <c r="F50" s="19" t="n">
        <v>8</v>
      </c>
      <c r="G50" s="19" t="n">
        <v>15</v>
      </c>
      <c r="H50" s="19" t="n">
        <v>40</v>
      </c>
      <c r="I50" s="20" t="n">
        <v>1.15</v>
      </c>
      <c r="J50" s="22" t="inlineStr">
        <is>
          <t>Low</t>
        </is>
      </c>
      <c r="K50" s="18" t="inlineStr">
        <is>
          <t>Yes</t>
        </is>
      </c>
      <c r="L50" s="14" t="inlineStr">
        <is>
          <t>Periodic CKYC/identity refresh and AA consent renewal. AA consents expire — re-consent is not optional.</t>
        </is>
      </c>
      <c r="M50" s="23" t="inlineStr">
        <is>
          <t>RFQ — no public price; placeholder pending vendor quotation</t>
        </is>
      </c>
    </row>
    <row r="51">
      <c r="A51" s="24" t="inlineStr">
        <is>
          <t>S09</t>
        </is>
      </c>
      <c r="B51" s="13" t="inlineStr">
        <is>
          <t>Portfolio bureau review</t>
        </is>
      </c>
      <c r="C51" s="18" t="inlineStr">
        <is>
          <t>INT-LMS-09</t>
        </is>
      </c>
      <c r="D51" s="18" t="inlineStr">
        <is>
          <t>per_loan_year</t>
        </is>
      </c>
      <c r="E51" s="18" t="inlineStr">
        <is>
          <t>per review pull</t>
        </is>
      </c>
      <c r="F51" s="19" t="n">
        <v>20</v>
      </c>
      <c r="G51" s="19" t="n">
        <v>35</v>
      </c>
      <c r="H51" s="19" t="n">
        <v>70</v>
      </c>
      <c r="I51" s="20" t="n">
        <v>1.02</v>
      </c>
      <c r="J51" s="18" t="inlineStr">
        <is>
          <t>Medium</t>
        </is>
      </c>
      <c r="K51" s="18" t="inlineStr">
        <is>
          <t>Yes</t>
        </is>
      </c>
      <c r="L51" s="14" t="inlineStr">
        <is>
          <t>Account-review enquiries are cheaper than origination pulls but are charged per account per cycle.</t>
        </is>
      </c>
      <c r="M51" s="23" t="inlineStr">
        <is>
          <t>RFQ — no public price; placeholder pending vendor quotation</t>
        </is>
      </c>
    </row>
    <row r="52">
      <c r="A52" s="24" t="inlineStr">
        <is>
          <t>S10</t>
        </is>
      </c>
      <c r="B52" s="13" t="inlineStr">
        <is>
          <t>Ongoing AML rescreen</t>
        </is>
      </c>
      <c r="C52" s="18" t="inlineStr">
        <is>
          <t>INT-LMS-09</t>
        </is>
      </c>
      <c r="D52" s="18" t="inlineStr">
        <is>
          <t>per_loan_year</t>
        </is>
      </c>
      <c r="E52" s="18" t="inlineStr">
        <is>
          <t>per rescreen</t>
        </is>
      </c>
      <c r="F52" s="19" t="n">
        <v>2</v>
      </c>
      <c r="G52" s="19" t="n">
        <v>5</v>
      </c>
      <c r="H52" s="19" t="n">
        <v>12</v>
      </c>
      <c r="I52" s="20" t="n">
        <v>1.02</v>
      </c>
      <c r="J52" s="18" t="inlineStr">
        <is>
          <t>Medium</t>
        </is>
      </c>
      <c r="K52" s="18" t="inlineStr">
        <is>
          <t>Yes</t>
        </is>
      </c>
      <c r="L52" s="14" t="inlineStr">
        <is>
          <t>Delta rescreen against updated sanctions/PEP/adverse-media lists.</t>
        </is>
      </c>
      <c r="M52" s="23" t="inlineStr">
        <is>
          <t>RFQ — no public price; placeholder pending vendor quotation</t>
        </is>
      </c>
    </row>
    <row r="53">
      <c r="A53" s="24" t="inlineStr">
        <is>
          <t>S11</t>
        </is>
      </c>
      <c r="B53" s="13" t="inlineStr">
        <is>
          <t>Insurance renewal / collateral revaluation</t>
        </is>
      </c>
      <c r="C53" s="18" t="inlineStr">
        <is>
          <t>INT-LMS-10</t>
        </is>
      </c>
      <c r="D53" s="18" t="inlineStr">
        <is>
          <t>per_loan_year</t>
        </is>
      </c>
      <c r="E53" s="18" t="inlineStr">
        <is>
          <t>per loan-year</t>
        </is>
      </c>
      <c r="F53" s="19" t="n">
        <v>150</v>
      </c>
      <c r="G53" s="19" t="n">
        <v>700</v>
      </c>
      <c r="H53" s="19" t="n">
        <v>2500</v>
      </c>
      <c r="I53" s="20" t="n">
        <v>1.05</v>
      </c>
      <c r="J53" s="22" t="inlineStr">
        <is>
          <t>Low</t>
        </is>
      </c>
      <c r="K53" s="18" t="inlineStr">
        <is>
          <t>Yes</t>
        </is>
      </c>
      <c r="L53" s="14" t="inlineStr">
        <is>
          <t>Secured journeys only. Renewal/lapse tracking, periodic revaluation and covenant status.</t>
        </is>
      </c>
      <c r="M53" s="23" t="inlineStr">
        <is>
          <t>RFQ — no public price; placeholder pending vendor quotation</t>
        </is>
      </c>
    </row>
    <row r="54">
      <c r="A54" s="24" t="inlineStr">
        <is>
          <t>S12</t>
        </is>
      </c>
      <c r="B54" s="13" t="inlineStr">
        <is>
          <t>Refund / excess / failed-disbursement reversal</t>
        </is>
      </c>
      <c r="C54" s="18" t="inlineStr">
        <is>
          <t>INT-LMS-05</t>
        </is>
      </c>
      <c r="D54" s="18" t="inlineStr">
        <is>
          <t>per_loan_year</t>
        </is>
      </c>
      <c r="E54" s="18" t="inlineStr">
        <is>
          <t>per loan-year</t>
        </is>
      </c>
      <c r="F54" s="19" t="n">
        <v>0.5</v>
      </c>
      <c r="G54" s="19" t="n">
        <v>2</v>
      </c>
      <c r="H54" s="19" t="n">
        <v>6</v>
      </c>
      <c r="I54" s="20" t="n">
        <v>1</v>
      </c>
      <c r="J54" s="22" t="inlineStr">
        <is>
          <t>Low</t>
        </is>
      </c>
      <c r="K54" s="18" t="inlineStr">
        <is>
          <t>No</t>
        </is>
      </c>
      <c r="L54" s="14" t="inlineStr">
        <is>
          <t>Cooling-off refunds and excess reversals. Low frequency, non-zero.</t>
        </is>
      </c>
      <c r="M54" s="23" t="inlineStr">
        <is>
          <t>RFQ — no public price; placeholder pending vendor quotation</t>
        </is>
      </c>
    </row>
    <row r="55">
      <c r="A55" s="24" t="inlineStr">
        <is>
          <t>S13</t>
        </is>
      </c>
      <c r="B55" s="13" t="inlineStr">
        <is>
          <t>Restructure / transfer instruction</t>
        </is>
      </c>
      <c r="C55" s="18" t="inlineStr">
        <is>
          <t>INT-LMS-11</t>
        </is>
      </c>
      <c r="D55" s="18" t="inlineStr">
        <is>
          <t>per_loan_year</t>
        </is>
      </c>
      <c r="E55" s="18" t="inlineStr">
        <is>
          <t>per loan-year</t>
        </is>
      </c>
      <c r="F55" s="19" t="n">
        <v>20</v>
      </c>
      <c r="G55" s="19" t="n">
        <v>60</v>
      </c>
      <c r="H55" s="19" t="n">
        <v>200</v>
      </c>
      <c r="I55" s="20" t="n">
        <v>1</v>
      </c>
      <c r="J55" s="22" t="inlineStr">
        <is>
          <t>Low</t>
        </is>
      </c>
      <c r="K55" s="18" t="inlineStr">
        <is>
          <t>No</t>
        </is>
      </c>
      <c r="L55" s="14" t="inlineStr">
        <is>
          <t>CBS/GL, mandate and assignee instruction. Modelled as an expected value across the book, not per event.</t>
        </is>
      </c>
      <c r="M55" s="23" t="inlineStr">
        <is>
          <t>RFQ — no public price; placeholder pending vendor quotation</t>
        </is>
      </c>
    </row>
    <row r="56">
      <c r="A56" s="24" t="inlineStr">
        <is>
          <t>S14</t>
        </is>
      </c>
      <c r="B56" s="13" t="inlineStr">
        <is>
          <t>Closure: mandate cancel, NOC generation and delivery</t>
        </is>
      </c>
      <c r="C56" s="18" t="inlineStr">
        <is>
          <t>INT-LMS-12</t>
        </is>
      </c>
      <c r="D56" s="18" t="inlineStr">
        <is>
          <t>per_closure</t>
        </is>
      </c>
      <c r="E56" s="18" t="inlineStr">
        <is>
          <t>per closure</t>
        </is>
      </c>
      <c r="F56" s="19" t="n">
        <v>20</v>
      </c>
      <c r="G56" s="19" t="n">
        <v>45</v>
      </c>
      <c r="H56" s="19" t="n">
        <v>120</v>
      </c>
      <c r="I56" s="20" t="n">
        <v>1.1</v>
      </c>
      <c r="J56" s="18" t="inlineStr">
        <is>
          <t>Medium</t>
        </is>
      </c>
      <c r="K56" s="18" t="inlineStr">
        <is>
          <t>No</t>
        </is>
      </c>
      <c r="L56" s="14" t="inlineStr">
        <is>
          <t>Mandate cancellation, NOC production and proof of delivery. Regulatorily time-bound.</t>
        </is>
      </c>
      <c r="M56" s="23" t="inlineStr">
        <is>
          <t>RFQ — no public price; placeholder pending vendor quotation</t>
        </is>
      </c>
    </row>
    <row r="57">
      <c r="A57" s="24" t="inlineStr">
        <is>
          <t>S15</t>
        </is>
      </c>
      <c r="B57" s="13" t="inlineStr">
        <is>
          <t>Security registry satisfaction (CERSAI / ROC / RTO)</t>
        </is>
      </c>
      <c r="C57" s="18" t="inlineStr">
        <is>
          <t>INT-COLAT-04</t>
        </is>
      </c>
      <c r="D57" s="18" t="inlineStr">
        <is>
          <t>per_closure</t>
        </is>
      </c>
      <c r="E57" s="18" t="inlineStr">
        <is>
          <t>per filing</t>
        </is>
      </c>
      <c r="F57" s="19" t="n">
        <v>50</v>
      </c>
      <c r="G57" s="19" t="n">
        <v>80</v>
      </c>
      <c r="H57" s="19" t="n">
        <v>200</v>
      </c>
      <c r="I57" s="20" t="n">
        <v>1.05</v>
      </c>
      <c r="J57" s="18" t="inlineStr">
        <is>
          <t>Medium</t>
        </is>
      </c>
      <c r="K57" s="18" t="inlineStr">
        <is>
          <t>Yes</t>
        </is>
      </c>
      <c r="L57" s="14" t="inlineStr">
        <is>
          <t>Charge satisfaction filing at closure. Secured journeys only. Statutory fee.</t>
        </is>
      </c>
      <c r="M57" s="23" t="inlineStr">
        <is>
          <t>RFQ — no public price; placeholder pending vendor quotation</t>
        </is>
      </c>
    </row>
    <row r="58">
      <c r="A58" s="24" t="inlineStr">
        <is>
          <t>S16</t>
        </is>
      </c>
      <c r="B58" s="13" t="inlineStr">
        <is>
          <t>Custody return and release acknowledgement</t>
        </is>
      </c>
      <c r="C58" s="18" t="inlineStr">
        <is>
          <t>INT-COLAT-06</t>
        </is>
      </c>
      <c r="D58" s="18" t="inlineStr">
        <is>
          <t>per_closure</t>
        </is>
      </c>
      <c r="E58" s="18" t="inlineStr">
        <is>
          <t>per release</t>
        </is>
      </c>
      <c r="F58" s="19" t="n">
        <v>50</v>
      </c>
      <c r="G58" s="19" t="n">
        <v>100</v>
      </c>
      <c r="H58" s="19" t="n">
        <v>250</v>
      </c>
      <c r="I58" s="20" t="n">
        <v>1</v>
      </c>
      <c r="J58" s="22" t="inlineStr">
        <is>
          <t>Low</t>
        </is>
      </c>
      <c r="K58" s="18" t="inlineStr">
        <is>
          <t>Yes</t>
        </is>
      </c>
      <c r="L58" s="14" t="inlineStr">
        <is>
          <t>Gold and other physical custody: dual-control release, inventory and acknowledgement.</t>
        </is>
      </c>
      <c r="M58" s="23" t="inlineStr">
        <is>
          <t>RFQ — no public price; placeholder pending vendor quotation</t>
        </is>
      </c>
    </row>
    <row r="59">
      <c r="A59" s="25" t="inlineStr">
        <is>
          <t>C01</t>
        </is>
      </c>
      <c r="B59" s="13" t="inlineStr">
        <is>
          <t>Tele-collections (dialer, IVR, agent, recording)</t>
        </is>
      </c>
      <c r="C59" s="18" t="inlineStr">
        <is>
          <t>INT-COL-01</t>
        </is>
      </c>
      <c r="D59" s="18" t="inlineStr">
        <is>
          <t>per_collection_event</t>
        </is>
      </c>
      <c r="E59" s="18" t="inlineStr">
        <is>
          <t>per contact attempt</t>
        </is>
      </c>
      <c r="F59" s="19" t="n">
        <v>3</v>
      </c>
      <c r="G59" s="19" t="n">
        <v>8</v>
      </c>
      <c r="H59" s="19" t="n">
        <v>20</v>
      </c>
      <c r="I59" s="20" t="n">
        <v>1</v>
      </c>
      <c r="J59" s="22" t="inlineStr">
        <is>
          <t>Low</t>
        </is>
      </c>
      <c r="K59" s="18" t="inlineStr">
        <is>
          <t>No</t>
        </is>
      </c>
      <c r="L59" s="14" t="inlineStr">
        <is>
          <t>Dialer/IVR platform plus agent handling minutes. DNC and recording retention obligations apply.</t>
        </is>
      </c>
      <c r="M59" s="23" t="inlineStr">
        <is>
          <t>RFQ — no public price; placeholder pending vendor quotation</t>
        </is>
      </c>
    </row>
    <row r="60">
      <c r="A60" s="25" t="inlineStr">
        <is>
          <t>C02</t>
        </is>
      </c>
      <c r="B60" s="13" t="inlineStr">
        <is>
          <t>Digital collection retry (UPI / link / NACH)</t>
        </is>
      </c>
      <c r="C60" s="18" t="inlineStr">
        <is>
          <t>INT-COL-02</t>
        </is>
      </c>
      <c r="D60" s="18" t="inlineStr">
        <is>
          <t>per_collection_event</t>
        </is>
      </c>
      <c r="E60" s="18" t="inlineStr">
        <is>
          <t>per retry</t>
        </is>
      </c>
      <c r="F60" s="19" t="n">
        <v>1</v>
      </c>
      <c r="G60" s="19" t="n">
        <v>2.5</v>
      </c>
      <c r="H60" s="19" t="n">
        <v>6</v>
      </c>
      <c r="I60" s="20" t="n">
        <v>1</v>
      </c>
      <c r="J60" s="18" t="inlineStr">
        <is>
          <t>Medium</t>
        </is>
      </c>
      <c r="K60" s="18" t="inlineStr">
        <is>
          <t>Yes</t>
        </is>
      </c>
      <c r="L60" s="14" t="inlineStr">
        <is>
          <t>Payment link or re-presentment attempt, status, settlement and receipt.</t>
        </is>
      </c>
      <c r="M60" s="23" t="inlineStr">
        <is>
          <t>RFQ — no public price; placeholder pending vendor quotation</t>
        </is>
      </c>
    </row>
    <row r="61">
      <c r="A61" s="25" t="inlineStr">
        <is>
          <t>C03</t>
        </is>
      </c>
      <c r="B61" s="13" t="inlineStr">
        <is>
          <t>Field collection visit</t>
        </is>
      </c>
      <c r="C61" s="18" t="inlineStr">
        <is>
          <t>INT-COL-03</t>
        </is>
      </c>
      <c r="D61" s="18" t="inlineStr">
        <is>
          <t>per_collection_event</t>
        </is>
      </c>
      <c r="E61" s="18" t="inlineStr">
        <is>
          <t>per visit</t>
        </is>
      </c>
      <c r="F61" s="19" t="n">
        <v>80</v>
      </c>
      <c r="G61" s="19" t="n">
        <v>150</v>
      </c>
      <c r="H61" s="19" t="n">
        <v>400</v>
      </c>
      <c r="I61" s="20" t="n">
        <v>1</v>
      </c>
      <c r="J61" s="22" t="inlineStr">
        <is>
          <t>Low</t>
        </is>
      </c>
      <c r="K61" s="18" t="inlineStr">
        <is>
          <t>No</t>
        </is>
      </c>
      <c r="L61" s="14" t="inlineStr">
        <is>
          <t>Agent time, travel, geo/photo/receipt capture and offline sync. Conduct rules constrain frequency and timing.</t>
        </is>
      </c>
      <c r="M61" s="23" t="inlineStr">
        <is>
          <t>RFQ — no public price; placeholder pending vendor quotation</t>
        </is>
      </c>
    </row>
    <row r="62">
      <c r="A62" s="25" t="inlineStr">
        <is>
          <t>C04</t>
        </is>
      </c>
      <c r="B62" s="13" t="inlineStr">
        <is>
          <t>Agency oversight, roster and invoice handling</t>
        </is>
      </c>
      <c r="C62" s="18" t="inlineStr">
        <is>
          <t>INT-COL-04</t>
        </is>
      </c>
      <c r="D62" s="18" t="inlineStr">
        <is>
          <t>per_collection_event</t>
        </is>
      </c>
      <c r="E62" s="18" t="inlineStr">
        <is>
          <t>per case-month</t>
        </is>
      </c>
      <c r="F62" s="19" t="n">
        <v>15</v>
      </c>
      <c r="G62" s="19" t="n">
        <v>40</v>
      </c>
      <c r="H62" s="19" t="n">
        <v>100</v>
      </c>
      <c r="I62" s="20" t="n">
        <v>1</v>
      </c>
      <c r="J62" s="22" t="inlineStr">
        <is>
          <t>Low</t>
        </is>
      </c>
      <c r="K62" s="18" t="inlineStr">
        <is>
          <t>No</t>
        </is>
      </c>
      <c r="L62" s="14" t="inlineStr">
        <is>
          <t>Agency capacity, conduct monitoring, SLA and invoice reconciliation. Excludes the agency's own success commission.</t>
        </is>
      </c>
      <c r="M62" s="23" t="inlineStr">
        <is>
          <t>RFQ — no public price; placeholder pending vendor quotation</t>
        </is>
      </c>
    </row>
    <row r="63">
      <c r="A63" s="25" t="inlineStr">
        <is>
          <t>C05</t>
        </is>
      </c>
      <c r="B63" s="13" t="inlineStr">
        <is>
          <t>Legal case filing and eCourts tracking</t>
        </is>
      </c>
      <c r="C63" s="18" t="inlineStr">
        <is>
          <t>INT-COL-05</t>
        </is>
      </c>
      <c r="D63" s="18" t="inlineStr">
        <is>
          <t>per_collection_event</t>
        </is>
      </c>
      <c r="E63" s="18" t="inlineStr">
        <is>
          <t>per case</t>
        </is>
      </c>
      <c r="F63" s="19" t="n">
        <v>1500</v>
      </c>
      <c r="G63" s="19" t="n">
        <v>5000</v>
      </c>
      <c r="H63" s="19" t="n">
        <v>20000</v>
      </c>
      <c r="I63" s="20" t="n">
        <v>1</v>
      </c>
      <c r="J63" s="22" t="inlineStr">
        <is>
          <t>Low</t>
        </is>
      </c>
      <c r="K63" s="18" t="inlineStr">
        <is>
          <t>Yes</t>
        </is>
      </c>
      <c r="L63" s="14" t="inlineStr">
        <is>
          <t>Advocate assignment, filing, cause-list/hearing/order tracking. Only the deepest bucket reaches this.</t>
        </is>
      </c>
      <c r="M63" s="23" t="inlineStr">
        <is>
          <t>RFQ — no public price; placeholder pending vendor quotation</t>
        </is>
      </c>
    </row>
    <row r="64">
      <c r="A64" s="25" t="inlineStr">
        <is>
          <t>C06</t>
        </is>
      </c>
      <c r="B64" s="13" t="inlineStr">
        <is>
          <t>Security enforcement (notice, possession, custodian)</t>
        </is>
      </c>
      <c r="C64" s="18" t="inlineStr">
        <is>
          <t>INT-COL-06</t>
        </is>
      </c>
      <c r="D64" s="18" t="inlineStr">
        <is>
          <t>per_collection_event</t>
        </is>
      </c>
      <c r="E64" s="18" t="inlineStr">
        <is>
          <t>per enforcement</t>
        </is>
      </c>
      <c r="F64" s="19" t="n">
        <v>2000</v>
      </c>
      <c r="G64" s="19" t="n">
        <v>8000</v>
      </c>
      <c r="H64" s="19" t="n">
        <v>30000</v>
      </c>
      <c r="I64" s="20" t="n">
        <v>1</v>
      </c>
      <c r="J64" s="22" t="inlineStr">
        <is>
          <t>Low</t>
        </is>
      </c>
      <c r="K64" s="18" t="inlineStr">
        <is>
          <t>Yes</t>
        </is>
      </c>
      <c r="L64" s="14" t="inlineStr">
        <is>
          <t>SARFAESI/notice delivery, possession, valuer and custodian orders. Secured journeys only.</t>
        </is>
      </c>
      <c r="M64" s="23" t="inlineStr">
        <is>
          <t>RFQ — no public price; placeholder pending vendor quotation</t>
        </is>
      </c>
    </row>
    <row r="65">
      <c r="A65" s="25" t="inlineStr">
        <is>
          <t>C07</t>
        </is>
      </c>
      <c r="B65" s="13" t="inlineStr">
        <is>
          <t>Auction (publish, bidder KYC, certificate)</t>
        </is>
      </c>
      <c r="C65" s="18" t="inlineStr">
        <is>
          <t>INT-COL-07</t>
        </is>
      </c>
      <c r="D65" s="18" t="inlineStr">
        <is>
          <t>per_collection_event</t>
        </is>
      </c>
      <c r="E65" s="18" t="inlineStr">
        <is>
          <t>per auction</t>
        </is>
      </c>
      <c r="F65" s="19" t="n">
        <v>1500</v>
      </c>
      <c r="G65" s="19" t="n">
        <v>5000</v>
      </c>
      <c r="H65" s="19" t="n">
        <v>15000</v>
      </c>
      <c r="I65" s="20" t="n">
        <v>1</v>
      </c>
      <c r="J65" s="22" t="inlineStr">
        <is>
          <t>Low</t>
        </is>
      </c>
      <c r="K65" s="18" t="inlineStr">
        <is>
          <t>Yes</t>
        </is>
      </c>
      <c r="L65" s="14" t="inlineStr">
        <is>
          <t>Publication, bidder KYC/deposit, bid register and sale certificate.</t>
        </is>
      </c>
      <c r="M65" s="23" t="inlineStr">
        <is>
          <t>RFQ — no public price; placeholder pending vendor quotation</t>
        </is>
      </c>
    </row>
    <row r="66">
      <c r="A66" s="25" t="inlineStr">
        <is>
          <t>C08</t>
        </is>
      </c>
      <c r="B66" s="13" t="inlineStr">
        <is>
          <t>Recovery proceeds handling and GL posting</t>
        </is>
      </c>
      <c r="C66" s="18" t="inlineStr">
        <is>
          <t>INT-COL-08</t>
        </is>
      </c>
      <c r="D66" s="18" t="inlineStr">
        <is>
          <t>per_collection_event</t>
        </is>
      </c>
      <c r="E66" s="18" t="inlineStr">
        <is>
          <t>per recovery</t>
        </is>
      </c>
      <c r="F66" s="19" t="n">
        <v>20</v>
      </c>
      <c r="G66" s="19" t="n">
        <v>60</v>
      </c>
      <c r="H66" s="19" t="n">
        <v>150</v>
      </c>
      <c r="I66" s="20" t="n">
        <v>1</v>
      </c>
      <c r="J66" s="22" t="inlineStr">
        <is>
          <t>Low</t>
        </is>
      </c>
      <c r="K66" s="18" t="inlineStr">
        <is>
          <t>No</t>
        </is>
      </c>
      <c r="L66" s="14" t="inlineStr">
        <is>
          <t>Payment/escrow/bank posting, expense invoice, surplus/refund and GL entry.</t>
        </is>
      </c>
      <c r="M66" s="23" t="inlineStr">
        <is>
          <t>RFQ — no public price; placeholder pending vendor quotation</t>
        </is>
      </c>
    </row>
    <row r="67">
      <c r="A67" s="25" t="inlineStr">
        <is>
          <t>C09</t>
        </is>
      </c>
      <c r="B67" s="13" t="inlineStr">
        <is>
          <t>Repossession and yard management</t>
        </is>
      </c>
      <c r="C67" s="18" t="inlineStr">
        <is>
          <t>INT-COLAT-07</t>
        </is>
      </c>
      <c r="D67" s="18" t="inlineStr">
        <is>
          <t>per_collection_event</t>
        </is>
      </c>
      <c r="E67" s="18" t="inlineStr">
        <is>
          <t>per repossession</t>
        </is>
      </c>
      <c r="F67" s="19" t="n">
        <v>3000</v>
      </c>
      <c r="G67" s="19" t="n">
        <v>9000</v>
      </c>
      <c r="H67" s="19" t="n">
        <v>25000</v>
      </c>
      <c r="I67" s="20" t="n">
        <v>1</v>
      </c>
      <c r="J67" s="22" t="inlineStr">
        <is>
          <t>Low</t>
        </is>
      </c>
      <c r="K67" s="18" t="inlineStr">
        <is>
          <t>Yes</t>
        </is>
      </c>
      <c r="L67" s="14" t="inlineStr">
        <is>
          <t>Asset-finance journeys: work order, inventory/condition, movement, yard fees and release.</t>
        </is>
      </c>
      <c r="M67" s="23" t="inlineStr">
        <is>
          <t>RFQ — no public price; placeholder pending vendor quotation</t>
        </is>
      </c>
    </row>
    <row r="69">
      <c r="B69" s="26" t="inlineStr">
        <is>
          <t>Row groups — green = origination (LOS), blue = servicing (LMS/closure), orange = collections and recovery.</t>
        </is>
      </c>
    </row>
    <row r="70">
      <c r="B70" s="26" t="inlineStr">
        <is>
          <t>SOURCE OF TRUTH: docs/architecture/integration-vendor-procurement-catalog.md carries a dated public price for only three lines below; every other line there is explicitly RFQ. Do not quote from an orange anchor cell.</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5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8" customWidth="1" min="2" max="2"/>
    <col width="24" customWidth="1" min="3" max="3"/>
    <col width="22" customWidth="1" min="4" max="4"/>
    <col width="10" customWidth="1" min="5" max="5"/>
    <col width="12" customWidth="1" min="6" max="6"/>
    <col width="12" customWidth="1" min="7" max="7"/>
    <col width="12" customWidth="1" min="8" max="8"/>
    <col width="11" customWidth="1" min="9" max="9"/>
    <col width="11" customWidth="1" min="10" max="10"/>
    <col width="8" customWidth="1" min="11" max="11"/>
    <col width="16" customWidth="1" min="12" max="12"/>
    <col width="62" customWidth="1" min="13" max="13"/>
  </cols>
  <sheetData>
    <row r="1">
      <c r="A1" s="1" t="inlineStr">
        <is>
          <t>3 — Recurring cost rate card (Class R)</t>
        </is>
      </c>
    </row>
    <row r="2">
      <c r="A2" s="2" t="inlineStr">
        <is>
          <t>Subscriptions and per-seat / per-device / per-partner costs. These scale with the QUANTITY DRIVERS on sheet 1, not with loan volume — which is why they decide whether a small tenant is viable.</t>
        </is>
      </c>
    </row>
    <row r="4" ht="32" customHeight="1">
      <c r="A4" s="11" t="inlineStr">
        <is>
          <t>ID</t>
        </is>
      </c>
      <c r="B4" s="11" t="inlineStr">
        <is>
          <t>Recurring cost driver</t>
        </is>
      </c>
      <c r="C4" s="11" t="inlineStr">
        <is>
          <t>INT ID(s)</t>
        </is>
      </c>
      <c r="D4" s="11" t="inlineStr">
        <is>
          <t>Quantity basis</t>
        </is>
      </c>
      <c r="E4" s="11" t="inlineStr">
        <is>
          <t>Qty</t>
        </is>
      </c>
      <c r="F4" s="11" t="inlineStr">
        <is>
          <t>Low ₹</t>
        </is>
      </c>
      <c r="G4" s="11" t="inlineStr">
        <is>
          <t>Base ₹</t>
        </is>
      </c>
      <c r="H4" s="11" t="inlineStr">
        <is>
          <t>High ₹</t>
        </is>
      </c>
      <c r="I4" s="11" t="inlineStr">
        <is>
          <t>Confidence</t>
        </is>
      </c>
      <c r="J4" s="11" t="inlineStr">
        <is>
          <t>Pass-through?</t>
        </is>
      </c>
      <c r="K4" s="11" t="inlineStr">
        <is>
          <t>Periods / yr</t>
        </is>
      </c>
      <c r="L4" s="11" t="inlineStr">
        <is>
          <t>₹ per year</t>
        </is>
      </c>
      <c r="M4" s="11" t="inlineStr">
        <is>
          <t>Note</t>
        </is>
      </c>
    </row>
    <row r="5">
      <c r="A5" s="27" t="inlineStr">
        <is>
          <t>R01</t>
        </is>
      </c>
      <c r="B5" s="13" t="inlineStr">
        <is>
          <t>Mobile device management licence</t>
        </is>
      </c>
      <c r="C5" s="18" t="inlineStr">
        <is>
          <t>INT-CUS-06</t>
        </is>
      </c>
      <c r="D5" s="18" t="inlineStr">
        <is>
          <t>field_devices_month</t>
        </is>
      </c>
      <c r="E5" s="15">
        <f>IFERROR(INDEX('1_Inputs'!$C$37:$C$49,MATCH($D5,'1_Inputs'!$A$37:$A$49,0)),0)</f>
        <v/>
      </c>
      <c r="F5" s="10" t="n">
        <v>80</v>
      </c>
      <c r="G5" s="10" t="n">
        <v>150</v>
      </c>
      <c r="H5" s="10" t="n">
        <v>400</v>
      </c>
      <c r="I5" s="22" t="inlineStr">
        <is>
          <t>Low</t>
        </is>
      </c>
      <c r="J5" s="18" t="inlineStr">
        <is>
          <t>No</t>
        </is>
      </c>
      <c r="K5" s="28" t="n">
        <v>12</v>
      </c>
      <c r="L5" s="29">
        <f>E5*INDEX($F5:$H5,'1_Inputs'!$B$54)*K5</f>
        <v/>
      </c>
      <c r="M5" s="14" t="inlineStr">
        <is>
          <t>Per enrolled field device per month. MDM enrol/attest/compliance/wipe. Live adapter missing today.</t>
        </is>
      </c>
    </row>
    <row r="6">
      <c r="A6" s="27" t="inlineStr">
        <is>
          <t>R02</t>
        </is>
      </c>
      <c r="B6" s="13" t="inlineStr">
        <is>
          <t>Device attestation and certificate lifecycle</t>
        </is>
      </c>
      <c r="C6" s="18" t="inlineStr">
        <is>
          <t>INT-PLT-13</t>
        </is>
      </c>
      <c r="D6" s="18" t="inlineStr">
        <is>
          <t>field_devices_month</t>
        </is>
      </c>
      <c r="E6" s="15">
        <f>IFERROR(INDEX('1_Inputs'!$C$37:$C$49,MATCH($D6,'1_Inputs'!$A$37:$A$49,0)),0)</f>
        <v/>
      </c>
      <c r="F6" s="10" t="n">
        <v>20</v>
      </c>
      <c r="G6" s="10" t="n">
        <v>35</v>
      </c>
      <c r="H6" s="10" t="n">
        <v>90</v>
      </c>
      <c r="I6" s="22" t="inlineStr">
        <is>
          <t>Low</t>
        </is>
      </c>
      <c r="J6" s="18" t="inlineStr">
        <is>
          <t>No</t>
        </is>
      </c>
      <c r="K6" s="28" t="n">
        <v>12</v>
      </c>
      <c r="L6" s="29">
        <f>E6*INDEX($F6:$H6,'1_Inputs'!$B$54)*K6</f>
        <v/>
      </c>
      <c r="M6" s="14" t="inlineStr">
        <is>
          <t>Certificate issue/rotate/revoke per managed device. Often bundled with R01 — check before adding both.</t>
        </is>
      </c>
    </row>
    <row r="7">
      <c r="A7" s="27" t="inlineStr">
        <is>
          <t>R03</t>
        </is>
      </c>
      <c r="B7" s="13" t="inlineStr">
        <is>
          <t>Branch, agent and territory master sync</t>
        </is>
      </c>
      <c r="C7" s="18" t="inlineStr">
        <is>
          <t>INT-CUS-03</t>
        </is>
      </c>
      <c r="D7" s="18" t="inlineStr">
        <is>
          <t>branches_month</t>
        </is>
      </c>
      <c r="E7" s="15">
        <f>IFERROR(INDEX('1_Inputs'!$C$37:$C$49,MATCH($D7,'1_Inputs'!$A$37:$A$49,0)),0)</f>
        <v/>
      </c>
      <c r="F7" s="10" t="n">
        <v>100</v>
      </c>
      <c r="G7" s="10" t="n">
        <v>250</v>
      </c>
      <c r="H7" s="10" t="n">
        <v>700</v>
      </c>
      <c r="I7" s="22" t="inlineStr">
        <is>
          <t>Low</t>
        </is>
      </c>
      <c r="J7" s="18" t="inlineStr">
        <is>
          <t>No</t>
        </is>
      </c>
      <c r="K7" s="28" t="n">
        <v>12</v>
      </c>
      <c r="L7" s="29">
        <f>E7*INDEX($F7:$H7,'1_Inputs'!$B$54)*K7</f>
        <v/>
      </c>
      <c r="M7" s="14" t="inlineStr">
        <is>
          <t>Agent/branch/territory/credential/capacity master sync with change and revoke totals.</t>
        </is>
      </c>
    </row>
    <row r="8">
      <c r="A8" s="27" t="inlineStr">
        <is>
          <t>R04</t>
        </is>
      </c>
      <c r="B8" s="13" t="inlineStr">
        <is>
          <t>Vernacular content production and approval</t>
        </is>
      </c>
      <c r="C8" s="18" t="inlineStr">
        <is>
          <t>INT-CUS-08</t>
        </is>
      </c>
      <c r="D8" s="18" t="inlineStr">
        <is>
          <t>languages_year</t>
        </is>
      </c>
      <c r="E8" s="15">
        <f>IFERROR(INDEX('1_Inputs'!$C$37:$C$49,MATCH($D8,'1_Inputs'!$A$37:$A$49,0)),0)</f>
        <v/>
      </c>
      <c r="F8" s="10" t="n">
        <v>15000</v>
      </c>
      <c r="G8" s="10" t="n">
        <v>35000</v>
      </c>
      <c r="H8" s="10" t="n">
        <v>90000</v>
      </c>
      <c r="I8" s="22" t="inlineStr">
        <is>
          <t>Low</t>
        </is>
      </c>
      <c r="J8" s="18" t="inlineStr">
        <is>
          <t>No</t>
        </is>
      </c>
      <c r="K8" s="28" t="n">
        <v>1</v>
      </c>
      <c r="L8" s="29">
        <f>E8*INDEX($F8:$H8,'1_Inputs'!$B$54)*K8</f>
        <v/>
      </c>
      <c r="M8" s="14" t="inlineStr">
        <is>
          <t>Per approved language per product version per year. RBI requires KFS and key notices in a language the borrower understands — this is a regulatory cost, not a UX nicety. Dispatch is separately metered (D27).</t>
        </is>
      </c>
    </row>
    <row r="9">
      <c r="A9" s="27" t="inlineStr">
        <is>
          <t>R05</t>
        </is>
      </c>
      <c r="B9" s="13" t="inlineStr">
        <is>
          <t>Reference data feeds (benchmarks, calendars, indices)</t>
        </is>
      </c>
      <c r="C9" s="18" t="inlineStr">
        <is>
          <t>INT-RSK-06</t>
        </is>
      </c>
      <c r="D9" s="18" t="inlineStr">
        <is>
          <t>reference_feeds_year</t>
        </is>
      </c>
      <c r="E9" s="15">
        <f>IFERROR(INDEX('1_Inputs'!$C$37:$C$49,MATCH($D9,'1_Inputs'!$A$37:$A$49,0)),0)</f>
        <v/>
      </c>
      <c r="F9" s="10" t="n">
        <v>50000</v>
      </c>
      <c r="G9" s="10" t="n">
        <v>150000</v>
      </c>
      <c r="H9" s="10" t="n">
        <v>450000</v>
      </c>
      <c r="I9" s="22" t="inlineStr">
        <is>
          <t>Low</t>
        </is>
      </c>
      <c r="J9" s="18" t="inlineStr">
        <is>
          <t>Yes</t>
        </is>
      </c>
      <c r="K9" s="28" t="n">
        <v>1</v>
      </c>
      <c r="L9" s="29">
        <f>E9*INDEX($F9:$H9,'1_Inputs'!$B$54)*K9</f>
        <v/>
      </c>
      <c r="M9" s="14" t="inlineStr">
        <is>
          <t>Benchmark rates, business calendars, geography, industry and collateral indices with effective date and checksum.</t>
        </is>
      </c>
    </row>
    <row r="10">
      <c r="A10" s="27" t="inlineStr">
        <is>
          <t>R06</t>
        </is>
      </c>
      <c r="B10" s="13" t="inlineStr">
        <is>
          <t>Model operations: drift, bias and performance feeds</t>
        </is>
      </c>
      <c r="C10" s="18" t="inlineStr">
        <is>
          <t>INT-RSK-05</t>
        </is>
      </c>
      <c r="D10" s="18" t="inlineStr">
        <is>
          <t>governed_models_year</t>
        </is>
      </c>
      <c r="E10" s="15">
        <f>IFERROR(INDEX('1_Inputs'!$C$37:$C$49,MATCH($D10,'1_Inputs'!$A$37:$A$49,0)),0)</f>
        <v/>
      </c>
      <c r="F10" s="10" t="n">
        <v>40000</v>
      </c>
      <c r="G10" s="10" t="n">
        <v>90000</v>
      </c>
      <c r="H10" s="10" t="n">
        <v>250000</v>
      </c>
      <c r="I10" s="22" t="inlineStr">
        <is>
          <t>Low</t>
        </is>
      </c>
      <c r="J10" s="18" t="inlineStr">
        <is>
          <t>No</t>
        </is>
      </c>
      <c r="K10" s="28" t="n">
        <v>1</v>
      </c>
      <c r="L10" s="29">
        <f>E10*INDEX($F10:$H10,'1_Inputs'!$B$54)*K10</f>
        <v/>
      </c>
      <c r="M10" s="14" t="inlineStr">
        <is>
          <t>Per governed model per year. Registry/artifact/feature feed plus drift and bias metrics.</t>
        </is>
      </c>
    </row>
    <row r="11">
      <c r="A11" s="27" t="inlineStr">
        <is>
          <t>R07</t>
        </is>
      </c>
      <c r="B11" s="13" t="inlineStr">
        <is>
          <t>Agent knowledge index storage and refresh</t>
        </is>
      </c>
      <c r="C11" s="18" t="inlineStr">
        <is>
          <t>INT-RSK-08</t>
        </is>
      </c>
      <c r="D11" s="18" t="inlineStr">
        <is>
          <t>vector_gb_month</t>
        </is>
      </c>
      <c r="E11" s="15">
        <f>IFERROR(INDEX('1_Inputs'!$C$37:$C$49,MATCH($D11,'1_Inputs'!$A$37:$A$49,0)),0)</f>
        <v/>
      </c>
      <c r="F11" s="10" t="n">
        <v>150</v>
      </c>
      <c r="G11" s="10" t="n">
        <v>300</v>
      </c>
      <c r="H11" s="10" t="n">
        <v>800</v>
      </c>
      <c r="I11" s="22" t="inlineStr">
        <is>
          <t>Low</t>
        </is>
      </c>
      <c r="J11" s="18" t="inlineStr">
        <is>
          <t>No</t>
        </is>
      </c>
      <c r="K11" s="28" t="n">
        <v>12</v>
      </c>
      <c r="L11" s="29">
        <f>E11*INDEX($F11:$H11,'1_Inputs'!$B$54)*K11</f>
        <v/>
      </c>
      <c r="M11" s="14" t="inlineStr">
        <is>
          <t>Per GB-month of approved knowledge index, including re-embedding on source change.</t>
        </is>
      </c>
    </row>
    <row r="12">
      <c r="A12" s="27" t="inlineStr">
        <is>
          <t>R08</t>
        </is>
      </c>
      <c r="B12" s="13" t="inlineStr">
        <is>
          <t>HRMS worker, position and JML feed</t>
        </is>
      </c>
      <c r="C12" s="18" t="inlineStr">
        <is>
          <t>INT-LWS-01</t>
        </is>
      </c>
      <c r="D12" s="18" t="inlineStr">
        <is>
          <t>staff_seats_month</t>
        </is>
      </c>
      <c r="E12" s="15">
        <f>IFERROR(INDEX('1_Inputs'!$C$37:$C$49,MATCH($D12,'1_Inputs'!$A$37:$A$49,0)),0)</f>
        <v/>
      </c>
      <c r="F12" s="10" t="n">
        <v>15</v>
      </c>
      <c r="G12" s="10" t="n">
        <v>30</v>
      </c>
      <c r="H12" s="10" t="n">
        <v>80</v>
      </c>
      <c r="I12" s="22" t="inlineStr">
        <is>
          <t>Low</t>
        </is>
      </c>
      <c r="J12" s="18" t="inlineStr">
        <is>
          <t>No</t>
        </is>
      </c>
      <c r="K12" s="28" t="n">
        <v>12</v>
      </c>
      <c r="L12" s="29">
        <f>E12*INDEX($F12:$H12,'1_Inputs'!$B$54)*K12</f>
        <v/>
      </c>
      <c r="M12" s="14" t="inlineStr">
        <is>
          <t>Worker/position/manager/branch/leave/delegation deltas that drive staff authority and routing.</t>
        </is>
      </c>
    </row>
    <row r="13">
      <c r="A13" s="27" t="inlineStr">
        <is>
          <t>R09</t>
        </is>
      </c>
      <c r="B13" s="13" t="inlineStr">
        <is>
          <t>Enterprise IdP and SCIM provisioning</t>
        </is>
      </c>
      <c r="C13" s="18" t="inlineStr">
        <is>
          <t>INT-LWS-02</t>
        </is>
      </c>
      <c r="D13" s="18" t="inlineStr">
        <is>
          <t>staff_seats_month</t>
        </is>
      </c>
      <c r="E13" s="15">
        <f>IFERROR(INDEX('1_Inputs'!$C$37:$C$49,MATCH($D13,'1_Inputs'!$A$37:$A$49,0)),0)</f>
        <v/>
      </c>
      <c r="F13" s="10" t="n">
        <v>40</v>
      </c>
      <c r="G13" s="10" t="n">
        <v>110</v>
      </c>
      <c r="H13" s="10" t="n">
        <v>300</v>
      </c>
      <c r="I13" s="18" t="inlineStr">
        <is>
          <t>Medium</t>
        </is>
      </c>
      <c r="J13" s="18" t="inlineStr">
        <is>
          <t>No</t>
        </is>
      </c>
      <c r="K13" s="28" t="n">
        <v>12</v>
      </c>
      <c r="L13" s="29">
        <f>E13*INDEX($F13:$H13,'1_Inputs'!$B$54)*K13</f>
        <v/>
      </c>
      <c r="M13" s="14" t="inlineStr">
        <is>
          <t>Per active user per month, plus MFA/conditional-access and governance tier. Procurement catalogue marks this RFQ.</t>
        </is>
      </c>
    </row>
    <row r="14">
      <c r="A14" s="27" t="inlineStr">
        <is>
          <t>R10</t>
        </is>
      </c>
      <c r="B14" s="13" t="inlineStr">
        <is>
          <t>Task and escalation notifications (staff)</t>
        </is>
      </c>
      <c r="C14" s="18" t="inlineStr">
        <is>
          <t>INT-LWS-03</t>
        </is>
      </c>
      <c r="D14" s="18" t="inlineStr">
        <is>
          <t>staff_seats_month</t>
        </is>
      </c>
      <c r="E14" s="15">
        <f>IFERROR(INDEX('1_Inputs'!$C$37:$C$49,MATCH($D14,'1_Inputs'!$A$37:$A$49,0)),0)</f>
        <v/>
      </c>
      <c r="F14" s="10" t="n">
        <v>10</v>
      </c>
      <c r="G14" s="10" t="n">
        <v>20</v>
      </c>
      <c r="H14" s="10" t="n">
        <v>60</v>
      </c>
      <c r="I14" s="22" t="inlineStr">
        <is>
          <t>Low</t>
        </is>
      </c>
      <c r="J14" s="18" t="inlineStr">
        <is>
          <t>No</t>
        </is>
      </c>
      <c r="K14" s="28" t="n">
        <v>12</v>
      </c>
      <c r="L14" s="29">
        <f>E14*INDEX($F14:$H14,'1_Inputs'!$B$54)*K14</f>
        <v/>
      </c>
      <c r="M14" s="14" t="inlineStr">
        <is>
          <t>Email/SMS/WhatsApp/voice/pager to staff, with delivery callbacks. Distinct from borrower communications.</t>
        </is>
      </c>
    </row>
    <row r="15">
      <c r="A15" s="27" t="inlineStr">
        <is>
          <t>R11</t>
        </is>
      </c>
      <c r="B15" s="13" t="inlineStr">
        <is>
          <t>Evidence, committee and minutes vault</t>
        </is>
      </c>
      <c r="C15" s="18" t="inlineStr">
        <is>
          <t>INT-LWS-04</t>
        </is>
      </c>
      <c r="D15" s="18" t="inlineStr">
        <is>
          <t>staff_seats_month</t>
        </is>
      </c>
      <c r="E15" s="15">
        <f>IFERROR(INDEX('1_Inputs'!$C$37:$C$49,MATCH($D15,'1_Inputs'!$A$37:$A$49,0)),0)</f>
        <v/>
      </c>
      <c r="F15" s="10" t="n">
        <v>20</v>
      </c>
      <c r="G15" s="10" t="n">
        <v>40</v>
      </c>
      <c r="H15" s="10" t="n">
        <v>120</v>
      </c>
      <c r="I15" s="22" t="inlineStr">
        <is>
          <t>Low</t>
        </is>
      </c>
      <c r="J15" s="18" t="inlineStr">
        <is>
          <t>No</t>
        </is>
      </c>
      <c r="K15" s="28" t="n">
        <v>12</v>
      </c>
      <c r="L15" s="29">
        <f>E15*INDEX($F15:$H15,'1_Inputs'!$B$54)*K15</f>
        <v/>
      </c>
      <c r="M15" s="14" t="inlineStr">
        <is>
          <t>DMS upload/version/download, legal hold, signed minutes and manifest.</t>
        </is>
      </c>
    </row>
    <row r="16">
      <c r="A16" s="27" t="inlineStr">
        <is>
          <t>R12</t>
        </is>
      </c>
      <c r="B16" s="13" t="inlineStr">
        <is>
          <t>External work-order routing platform</t>
        </is>
      </c>
      <c r="C16" s="18" t="inlineStr">
        <is>
          <t>INT-LWS-05</t>
        </is>
      </c>
      <c r="D16" s="18" t="inlineStr">
        <is>
          <t>vendor_panel_month</t>
        </is>
      </c>
      <c r="E16" s="15">
        <f>IFERROR(INDEX('1_Inputs'!$C$37:$C$49,MATCH($D16,'1_Inputs'!$A$37:$A$49,0)),0)</f>
        <v/>
      </c>
      <c r="F16" s="10" t="n">
        <v>100</v>
      </c>
      <c r="G16" s="10" t="n">
        <v>200</v>
      </c>
      <c r="H16" s="10" t="n">
        <v>600</v>
      </c>
      <c r="I16" s="22" t="inlineStr">
        <is>
          <t>Low</t>
        </is>
      </c>
      <c r="J16" s="18" t="inlineStr">
        <is>
          <t>No</t>
        </is>
      </c>
      <c r="K16" s="28" t="n">
        <v>12</v>
      </c>
      <c r="L16" s="29">
        <f>E16*INDEX($F16:$H16,'1_Inputs'!$B$54)*K16</f>
        <v/>
      </c>
      <c r="M16" s="14" t="inlineStr">
        <is>
          <t>Per empanelled valuer/advocate/agency/custodian/insurer per month. The orders themselves are metered elsewhere.</t>
        </is>
      </c>
    </row>
    <row r="17">
      <c r="A17" s="27" t="inlineStr">
        <is>
          <t>R13</t>
        </is>
      </c>
      <c r="B17" s="13" t="inlineStr">
        <is>
          <t>Complaints and Ombudsman handling (RBI CMS)</t>
        </is>
      </c>
      <c r="C17" s="18" t="inlineStr">
        <is>
          <t>INT-LWS-06, INT-REG-07</t>
        </is>
      </c>
      <c r="D17" s="18" t="inlineStr">
        <is>
          <t>tenant_month</t>
        </is>
      </c>
      <c r="E17" s="15">
        <f>IFERROR(INDEX('1_Inputs'!$C$37:$C$49,MATCH($D17,'1_Inputs'!$A$37:$A$49,0)),0)</f>
        <v/>
      </c>
      <c r="F17" s="10" t="n">
        <v>5000</v>
      </c>
      <c r="G17" s="10" t="n">
        <v>12000</v>
      </c>
      <c r="H17" s="10" t="n">
        <v>35000</v>
      </c>
      <c r="I17" s="22" t="inlineStr">
        <is>
          <t>Low</t>
        </is>
      </c>
      <c r="J17" s="18" t="inlineStr">
        <is>
          <t>No</t>
        </is>
      </c>
      <c r="K17" s="28" t="n">
        <v>12</v>
      </c>
      <c r="L17" s="29">
        <f>E17*INDEX($F17:$H17,'1_Inputs'!$B$54)*K17</f>
        <v/>
      </c>
      <c r="M17" s="14" t="inlineStr">
        <is>
          <t>Complaint intake/export, RBI CMS reference/status/closure evidence and response packs.</t>
        </is>
      </c>
    </row>
    <row r="18">
      <c r="A18" s="27" t="inlineStr">
        <is>
          <t>R14</t>
        </is>
      </c>
      <c r="B18" s="13" t="inlineStr">
        <is>
          <t>Court and regulator task tracking</t>
        </is>
      </c>
      <c r="C18" s="18" t="inlineStr">
        <is>
          <t>INT-LWS-07</t>
        </is>
      </c>
      <c r="D18" s="18" t="inlineStr">
        <is>
          <t>tenant_month</t>
        </is>
      </c>
      <c r="E18" s="15">
        <f>IFERROR(INDEX('1_Inputs'!$C$37:$C$49,MATCH($D18,'1_Inputs'!$A$37:$A$49,0)),0)</f>
        <v/>
      </c>
      <c r="F18" s="10" t="n">
        <v>3000</v>
      </c>
      <c r="G18" s="10" t="n">
        <v>7000</v>
      </c>
      <c r="H18" s="10" t="n">
        <v>20000</v>
      </c>
      <c r="I18" s="22" t="inlineStr">
        <is>
          <t>Low</t>
        </is>
      </c>
      <c r="J18" s="18" t="inlineStr">
        <is>
          <t>No</t>
        </is>
      </c>
      <c r="K18" s="28" t="n">
        <v>12</v>
      </c>
      <c r="L18" s="29">
        <f>E18*INDEX($F18:$H18,'1_Inputs'!$B$54)*K18</f>
        <v/>
      </c>
      <c r="M18" s="14" t="inlineStr">
        <is>
          <t>Filing accepted/rejected, hearing/order, response and due-date tracking.</t>
        </is>
      </c>
    </row>
    <row r="19">
      <c r="A19" s="27" t="inlineStr">
        <is>
          <t>R15</t>
        </is>
      </c>
      <c r="B19" s="13" t="inlineStr">
        <is>
          <t>CKYCRR submission channel and AMC</t>
        </is>
      </c>
      <c r="C19" s="18" t="inlineStr">
        <is>
          <t>INT-REG-01</t>
        </is>
      </c>
      <c r="D19" s="18" t="inlineStr">
        <is>
          <t>tenant_month</t>
        </is>
      </c>
      <c r="E19" s="15">
        <f>IFERROR(INDEX('1_Inputs'!$C$37:$C$49,MATCH($D19,'1_Inputs'!$A$37:$A$49,0)),0)</f>
        <v/>
      </c>
      <c r="F19" s="10" t="n">
        <v>8000</v>
      </c>
      <c r="G19" s="10" t="n">
        <v>18000</v>
      </c>
      <c r="H19" s="10" t="n">
        <v>50000</v>
      </c>
      <c r="I19" s="22" t="inlineStr">
        <is>
          <t>Low</t>
        </is>
      </c>
      <c r="J19" s="18" t="inlineStr">
        <is>
          <t>Yes</t>
        </is>
      </c>
      <c r="K19" s="28" t="n">
        <v>12</v>
      </c>
      <c r="L19" s="29">
        <f>E19*INDEX($F19:$H19,'1_Inputs'!$B$54)*K19</f>
        <v/>
      </c>
      <c r="M19" s="14" t="inlineStr">
        <is>
          <t>Upload/update, signed submit, accept/reject/probable-match repair.</t>
        </is>
      </c>
    </row>
    <row r="20">
      <c r="A20" s="27" t="inlineStr">
        <is>
          <t>R16</t>
        </is>
      </c>
      <c r="B20" s="13" t="inlineStr">
        <is>
          <t>CIC membership and annual minimums (4 bureaus)</t>
        </is>
      </c>
      <c r="C20" s="18" t="inlineStr">
        <is>
          <t>INT-REG-02</t>
        </is>
      </c>
      <c r="D20" s="18" t="inlineStr">
        <is>
          <t>tenant_year</t>
        </is>
      </c>
      <c r="E20" s="15">
        <f>IFERROR(INDEX('1_Inputs'!$C$37:$C$49,MATCH($D20,'1_Inputs'!$A$37:$A$49,0)),0)</f>
        <v/>
      </c>
      <c r="F20" s="10" t="n">
        <v>200000</v>
      </c>
      <c r="G20" s="10" t="n">
        <v>400000</v>
      </c>
      <c r="H20" s="10" t="n">
        <v>900000</v>
      </c>
      <c r="I20" s="18" t="inlineStr">
        <is>
          <t>Medium</t>
        </is>
      </c>
      <c r="J20" s="18" t="inlineStr">
        <is>
          <t>Yes</t>
        </is>
      </c>
      <c r="K20" s="28" t="n">
        <v>1</v>
      </c>
      <c r="L20" s="29">
        <f>E20*INDEX($F20:$H20,'1_Inputs'!$B$54)*K20</f>
        <v/>
      </c>
      <c r="M20" s="14" t="inlineStr">
        <is>
          <t>Membership, setup and annual minimum commitments across TransUnion CIBIL, Experian, Equifax and CRIF. SEPARATE from the per-enquiry price in D14/D15 — a commonly missed fixed cost.</t>
        </is>
      </c>
    </row>
    <row r="21">
      <c r="A21" s="27" t="inlineStr">
        <is>
          <t>R17</t>
        </is>
      </c>
      <c r="B21" s="13" t="inlineStr">
        <is>
          <t>FIU-IND FINnet submission channel</t>
        </is>
      </c>
      <c r="C21" s="18" t="inlineStr">
        <is>
          <t>INT-REG-03</t>
        </is>
      </c>
      <c r="D21" s="18" t="inlineStr">
        <is>
          <t>tenant_month</t>
        </is>
      </c>
      <c r="E21" s="15">
        <f>IFERROR(INDEX('1_Inputs'!$C$37:$C$49,MATCH($D21,'1_Inputs'!$A$37:$A$49,0)),0)</f>
        <v/>
      </c>
      <c r="F21" s="10" t="n">
        <v>5000</v>
      </c>
      <c r="G21" s="10" t="n">
        <v>10000</v>
      </c>
      <c r="H21" s="10" t="n">
        <v>30000</v>
      </c>
      <c r="I21" s="22" t="inlineStr">
        <is>
          <t>Low</t>
        </is>
      </c>
      <c r="J21" s="18" t="inlineStr">
        <is>
          <t>Yes</t>
        </is>
      </c>
      <c r="K21" s="28" t="n">
        <v>12</v>
      </c>
      <c r="L21" s="29">
        <f>E21*INDEX($F21:$H21,'1_Inputs'!$B$54)*K21</f>
        <v/>
      </c>
      <c r="M21" s="14" t="inlineStr">
        <is>
          <t>STR/CTR XML validate/sign/submit/poll/repair/acknowledge.</t>
        </is>
      </c>
    </row>
    <row r="22">
      <c r="A22" s="27" t="inlineStr">
        <is>
          <t>R18</t>
        </is>
      </c>
      <c r="B22" s="13" t="inlineStr">
        <is>
          <t>CERSAI membership and AMC</t>
        </is>
      </c>
      <c r="C22" s="18" t="inlineStr">
        <is>
          <t>INT-REG-04</t>
        </is>
      </c>
      <c r="D22" s="18" t="inlineStr">
        <is>
          <t>tenant_year</t>
        </is>
      </c>
      <c r="E22" s="15">
        <f>IFERROR(INDEX('1_Inputs'!$C$37:$C$49,MATCH($D22,'1_Inputs'!$A$37:$A$49,0)),0)</f>
        <v/>
      </c>
      <c r="F22" s="10" t="n">
        <v>50000</v>
      </c>
      <c r="G22" s="10" t="n">
        <v>100000</v>
      </c>
      <c r="H22" s="10" t="n">
        <v>300000</v>
      </c>
      <c r="I22" s="22" t="inlineStr">
        <is>
          <t>Low</t>
        </is>
      </c>
      <c r="J22" s="18" t="inlineStr">
        <is>
          <t>Yes</t>
        </is>
      </c>
      <c r="K22" s="28" t="n">
        <v>1</v>
      </c>
      <c r="L22" s="29">
        <f>E22*INDEX($F22:$H22,'1_Inputs'!$B$54)*K22</f>
        <v/>
      </c>
      <c r="M22" s="14" t="inlineStr">
        <is>
          <t>Registry membership. Per-filing fees are metered separately (D30, S15).</t>
        </is>
      </c>
    </row>
    <row r="23">
      <c r="A23" s="27" t="inlineStr">
        <is>
          <t>R19</t>
        </is>
      </c>
      <c r="B23" s="13" t="inlineStr">
        <is>
          <t>RBI CRILC / SMA transmission</t>
        </is>
      </c>
      <c r="C23" s="18" t="inlineStr">
        <is>
          <t>INT-REG-05</t>
        </is>
      </c>
      <c r="D23" s="18" t="inlineStr">
        <is>
          <t>tenant_month</t>
        </is>
      </c>
      <c r="E23" s="15">
        <f>IFERROR(INDEX('1_Inputs'!$C$37:$C$49,MATCH($D23,'1_Inputs'!$A$37:$A$49,0)),0)</f>
        <v/>
      </c>
      <c r="F23" s="10" t="n">
        <v>4000</v>
      </c>
      <c r="G23" s="10" t="n">
        <v>9000</v>
      </c>
      <c r="H23" s="10" t="n">
        <v>25000</v>
      </c>
      <c r="I23" s="22" t="inlineStr">
        <is>
          <t>Low</t>
        </is>
      </c>
      <c r="J23" s="18" t="inlineStr">
        <is>
          <t>Yes</t>
        </is>
      </c>
      <c r="K23" s="28" t="n">
        <v>12</v>
      </c>
      <c r="L23" s="29">
        <f>E23*INDEX($F23:$H23,'1_Inputs'!$B$54)*K23</f>
        <v/>
      </c>
      <c r="M23" s="14" t="inlineStr">
        <is>
          <t>Extract/validate/sign/transmit/acknowledge/amend.</t>
        </is>
      </c>
    </row>
    <row r="24">
      <c r="A24" s="27" t="inlineStr">
        <is>
          <t>R20</t>
        </is>
      </c>
      <c r="B24" s="13" t="inlineStr">
        <is>
          <t>CIMS / XBRL / PSL / DLA reporting</t>
        </is>
      </c>
      <c r="C24" s="18" t="inlineStr">
        <is>
          <t>INT-REG-06</t>
        </is>
      </c>
      <c r="D24" s="18" t="inlineStr">
        <is>
          <t>tenant_month</t>
        </is>
      </c>
      <c r="E24" s="15">
        <f>IFERROR(INDEX('1_Inputs'!$C$37:$C$49,MATCH($D24,'1_Inputs'!$A$37:$A$49,0)),0)</f>
        <v/>
      </c>
      <c r="F24" s="10" t="n">
        <v>8000</v>
      </c>
      <c r="G24" s="10" t="n">
        <v>16000</v>
      </c>
      <c r="H24" s="10" t="n">
        <v>45000</v>
      </c>
      <c r="I24" s="22" t="inlineStr">
        <is>
          <t>Low</t>
        </is>
      </c>
      <c r="J24" s="18" t="inlineStr">
        <is>
          <t>Yes</t>
        </is>
      </c>
      <c r="K24" s="28" t="n">
        <v>12</v>
      </c>
      <c r="L24" s="29">
        <f>E24*INDEX($F24:$H24,'1_Inputs'!$B$54)*K24</f>
        <v/>
      </c>
      <c r="M24" s="14" t="inlineStr">
        <is>
          <t>Taxonomy sync, generate/validate/sign/submit/reject/acknowledge.</t>
        </is>
      </c>
    </row>
    <row r="25">
      <c r="A25" s="27" t="inlineStr">
        <is>
          <t>R21</t>
        </is>
      </c>
      <c r="B25" s="13" t="inlineStr">
        <is>
          <t>Evidence anchoring and trusted timestamping</t>
        </is>
      </c>
      <c r="C25" s="18" t="inlineStr">
        <is>
          <t>INT-REG-08, INT-PLT-04</t>
        </is>
      </c>
      <c r="D25" s="18" t="inlineStr">
        <is>
          <t>tenant_month</t>
        </is>
      </c>
      <c r="E25" s="15">
        <f>IFERROR(INDEX('1_Inputs'!$C$37:$C$49,MATCH($D25,'1_Inputs'!$A$37:$A$49,0)),0)</f>
        <v/>
      </c>
      <c r="F25" s="10" t="n">
        <v>3000</v>
      </c>
      <c r="G25" s="10" t="n">
        <v>7000</v>
      </c>
      <c r="H25" s="10" t="n">
        <v>20000</v>
      </c>
      <c r="I25" s="22" t="inlineStr">
        <is>
          <t>Low</t>
        </is>
      </c>
      <c r="J25" s="18" t="inlineStr">
        <is>
          <t>No</t>
        </is>
      </c>
      <c r="K25" s="28" t="n">
        <v>12</v>
      </c>
      <c r="L25" s="29">
        <f>E25*INDEX($F25:$H25,'1_Inputs'!$B$54)*K25</f>
        <v/>
      </c>
      <c r="M25" s="14" t="inlineStr">
        <is>
          <t>WORM/object-lock, legal hold, external timestamp/anchor and verification. Underpins INV-8/INV-12 replayability.</t>
        </is>
      </c>
    </row>
    <row r="26">
      <c r="A26" s="27" t="inlineStr">
        <is>
          <t>R22</t>
        </is>
      </c>
      <c r="B26" s="13" t="inlineStr">
        <is>
          <t>Regulatory change and circular feed</t>
        </is>
      </c>
      <c r="C26" s="18" t="inlineStr">
        <is>
          <t>INT-REG-09</t>
        </is>
      </c>
      <c r="D26" s="18" t="inlineStr">
        <is>
          <t>tenant_year</t>
        </is>
      </c>
      <c r="E26" s="15">
        <f>IFERROR(INDEX('1_Inputs'!$C$37:$C$49,MATCH($D26,'1_Inputs'!$A$37:$A$49,0)),0)</f>
        <v/>
      </c>
      <c r="F26" s="10" t="n">
        <v>100000</v>
      </c>
      <c r="G26" s="10" t="n">
        <v>250000</v>
      </c>
      <c r="H26" s="10" t="n">
        <v>700000</v>
      </c>
      <c r="I26" s="22" t="inlineStr">
        <is>
          <t>Low</t>
        </is>
      </c>
      <c r="J26" s="18" t="inlineStr">
        <is>
          <t>No</t>
        </is>
      </c>
      <c r="K26" s="28" t="n">
        <v>1</v>
      </c>
      <c r="L26" s="29">
        <f>E26*INDEX($F26:$H26,'1_Inputs'!$B$54)*K26</f>
        <v/>
      </c>
      <c r="M26" s="14" t="inlineStr">
        <is>
          <t>Circular/legal update feed with obligation mapping evidence. Also consumed at platform level.</t>
        </is>
      </c>
    </row>
    <row r="27">
      <c r="A27" s="27" t="inlineStr">
        <is>
          <t>R23</t>
        </is>
      </c>
      <c r="B27" s="13" t="inlineStr">
        <is>
          <t>CBS / GL connector licence</t>
        </is>
      </c>
      <c r="C27" s="18" t="inlineStr">
        <is>
          <t>INT-FIN-01</t>
        </is>
      </c>
      <c r="D27" s="18" t="inlineStr">
        <is>
          <t>tenant_month</t>
        </is>
      </c>
      <c r="E27" s="15">
        <f>IFERROR(INDEX('1_Inputs'!$C$37:$C$49,MATCH($D27,'1_Inputs'!$A$37:$A$49,0)),0)</f>
        <v/>
      </c>
      <c r="F27" s="10" t="n">
        <v>15000</v>
      </c>
      <c r="G27" s="10" t="n">
        <v>35000</v>
      </c>
      <c r="H27" s="10" t="n">
        <v>100000</v>
      </c>
      <c r="I27" s="22" t="inlineStr">
        <is>
          <t>Low</t>
        </is>
      </c>
      <c r="J27" s="18" t="inlineStr">
        <is>
          <t>No</t>
        </is>
      </c>
      <c r="K27" s="28" t="n">
        <v>12</v>
      </c>
      <c r="L27" s="29">
        <f>E27*INDEX($F27:$H27,'1_Inputs'!$B$54)*K27</f>
        <v/>
      </c>
      <c r="M27" s="14" t="inlineStr">
        <is>
          <t>Master/chart sync, journal, ack/reject, reversal and trial-balance totals against the incumbent core.</t>
        </is>
      </c>
    </row>
    <row r="28">
      <c r="A28" s="27" t="inlineStr">
        <is>
          <t>R24</t>
        </is>
      </c>
      <c r="B28" s="13" t="inlineStr">
        <is>
          <t>Bank reconciliation feed (MT940 / BAI / API)</t>
        </is>
      </c>
      <c r="C28" s="18" t="inlineStr">
        <is>
          <t>INT-FIN-02</t>
        </is>
      </c>
      <c r="D28" s="18" t="inlineStr">
        <is>
          <t>bank_accounts_month</t>
        </is>
      </c>
      <c r="E28" s="15">
        <f>IFERROR(INDEX('1_Inputs'!$C$37:$C$49,MATCH($D28,'1_Inputs'!$A$37:$A$49,0)),0)</f>
        <v/>
      </c>
      <c r="F28" s="10" t="n">
        <v>500</v>
      </c>
      <c r="G28" s="10" t="n">
        <v>1200</v>
      </c>
      <c r="H28" s="10" t="n">
        <v>4000</v>
      </c>
      <c r="I28" s="22" t="inlineStr">
        <is>
          <t>Low</t>
        </is>
      </c>
      <c r="J28" s="18" t="inlineStr">
        <is>
          <t>No</t>
        </is>
      </c>
      <c r="K28" s="28" t="n">
        <v>12</v>
      </c>
      <c r="L28" s="29">
        <f>E28*INDEX($F28:$H28,'1_Inputs'!$B$54)*K28</f>
        <v/>
      </c>
      <c r="M28" s="14" t="inlineStr">
        <is>
          <t>Per operating/escrow/collection account per month.</t>
        </is>
      </c>
    </row>
    <row r="29">
      <c r="A29" s="27" t="inlineStr">
        <is>
          <t>R25</t>
        </is>
      </c>
      <c r="B29" s="13" t="inlineStr">
        <is>
          <t>Rail settlement reconciliation</t>
        </is>
      </c>
      <c r="C29" s="18" t="inlineStr">
        <is>
          <t>INT-FIN-03</t>
        </is>
      </c>
      <c r="D29" s="18" t="inlineStr">
        <is>
          <t>tenant_month</t>
        </is>
      </c>
      <c r="E29" s="15">
        <f>IFERROR(INDEX('1_Inputs'!$C$37:$C$49,MATCH($D29,'1_Inputs'!$A$37:$A$49,0)),0)</f>
        <v/>
      </c>
      <c r="F29" s="10" t="n">
        <v>5000</v>
      </c>
      <c r="G29" s="10" t="n">
        <v>11000</v>
      </c>
      <c r="H29" s="10" t="n">
        <v>30000</v>
      </c>
      <c r="I29" s="22" t="inlineStr">
        <is>
          <t>Low</t>
        </is>
      </c>
      <c r="J29" s="18" t="inlineStr">
        <is>
          <t>No</t>
        </is>
      </c>
      <c r="K29" s="28" t="n">
        <v>12</v>
      </c>
      <c r="L29" s="29">
        <f>E29*INDEX($F29:$H29,'1_Inputs'!$B$54)*K29</f>
        <v/>
      </c>
      <c r="M29" s="14" t="inlineStr">
        <is>
          <t>Settlement, fees/tax, refund/chargeback/return, payout and invoice reconciliation.</t>
        </is>
      </c>
    </row>
    <row r="30">
      <c r="A30" s="27" t="inlineStr">
        <is>
          <t>R26</t>
        </is>
      </c>
      <c r="B30" s="13" t="inlineStr">
        <is>
          <t>Escrow and co-lender statement / split</t>
        </is>
      </c>
      <c r="C30" s="18" t="inlineStr">
        <is>
          <t>INT-FIN-04</t>
        </is>
      </c>
      <c r="D30" s="18" t="inlineStr">
        <is>
          <t>tenant_month</t>
        </is>
      </c>
      <c r="E30" s="15">
        <f>IFERROR(INDEX('1_Inputs'!$C$37:$C$49,MATCH($D30,'1_Inputs'!$A$37:$A$49,0)),0)</f>
        <v/>
      </c>
      <c r="F30" s="10" t="n">
        <v>8000</v>
      </c>
      <c r="G30" s="10" t="n">
        <v>18000</v>
      </c>
      <c r="H30" s="10" t="n">
        <v>50000</v>
      </c>
      <c r="I30" s="22" t="inlineStr">
        <is>
          <t>Low</t>
        </is>
      </c>
      <c r="J30" s="18" t="inlineStr">
        <is>
          <t>No</t>
        </is>
      </c>
      <c r="K30" s="28" t="n">
        <v>12</v>
      </c>
      <c r="L30" s="29">
        <f>E30*INDEX($F30:$H30,'1_Inputs'!$B$54)*K30</f>
        <v/>
      </c>
      <c r="M30" s="14" t="inlineStr">
        <is>
          <t>Co-lending arrangements only. Balance/statement, funding/settlement/split, partner GL and acknowledgement.</t>
        </is>
      </c>
    </row>
    <row r="31">
      <c r="A31" s="27" t="inlineStr">
        <is>
          <t>R27</t>
        </is>
      </c>
      <c r="B31" s="13" t="inlineStr">
        <is>
          <t>GST / e-invoice (GSP-ASP)</t>
        </is>
      </c>
      <c r="C31" s="18" t="inlineStr">
        <is>
          <t>INT-FIN-05</t>
        </is>
      </c>
      <c r="D31" s="18" t="inlineStr">
        <is>
          <t>tenant_month</t>
        </is>
      </c>
      <c r="E31" s="15">
        <f>IFERROR(INDEX('1_Inputs'!$C$37:$C$49,MATCH($D31,'1_Inputs'!$A$37:$A$49,0)),0)</f>
        <v/>
      </c>
      <c r="F31" s="10" t="n">
        <v>5000</v>
      </c>
      <c r="G31" s="10" t="n">
        <v>10000</v>
      </c>
      <c r="H31" s="10" t="n">
        <v>30000</v>
      </c>
      <c r="I31" s="18" t="inlineStr">
        <is>
          <t>Medium</t>
        </is>
      </c>
      <c r="J31" s="18" t="inlineStr">
        <is>
          <t>No</t>
        </is>
      </c>
      <c r="K31" s="28" t="n">
        <v>12</v>
      </c>
      <c r="L31" s="29">
        <f>E31*INDEX($F31:$H31,'1_Inputs'!$B$54)*K31</f>
        <v/>
      </c>
      <c r="M31" s="14" t="inlineStr">
        <is>
          <t>GSTIN auth, IRN/invoice/credit note, return/challan/reject/acknowledge.</t>
        </is>
      </c>
    </row>
    <row r="32">
      <c r="A32" s="27" t="inlineStr">
        <is>
          <t>R28</t>
        </is>
      </c>
      <c r="B32" s="13" t="inlineStr">
        <is>
          <t>TDS and income-tax filing</t>
        </is>
      </c>
      <c r="C32" s="18" t="inlineStr">
        <is>
          <t>INT-FIN-06</t>
        </is>
      </c>
      <c r="D32" s="18" t="inlineStr">
        <is>
          <t>tenant_month</t>
        </is>
      </c>
      <c r="E32" s="15">
        <f>IFERROR(INDEX('1_Inputs'!$C$37:$C$49,MATCH($D32,'1_Inputs'!$A$37:$A$49,0)),0)</f>
        <v/>
      </c>
      <c r="F32" s="10" t="n">
        <v>4000</v>
      </c>
      <c r="G32" s="10" t="n">
        <v>8000</v>
      </c>
      <c r="H32" s="10" t="n">
        <v>22000</v>
      </c>
      <c r="I32" s="22" t="inlineStr">
        <is>
          <t>Low</t>
        </is>
      </c>
      <c r="J32" s="18" t="inlineStr">
        <is>
          <t>No</t>
        </is>
      </c>
      <c r="K32" s="28" t="n">
        <v>12</v>
      </c>
      <c r="L32" s="29">
        <f>E32*INDEX($F32:$H32,'1_Inputs'!$B$54)*K32</f>
        <v/>
      </c>
      <c r="M32" s="14" t="inlineStr">
        <is>
          <t>Deduction/challan/return/correction/certificate and acknowledgement.</t>
        </is>
      </c>
    </row>
    <row r="33">
      <c r="A33" s="27" t="inlineStr">
        <is>
          <t>R29</t>
        </is>
      </c>
      <c r="B33" s="13" t="inlineStr">
        <is>
          <t>Treasury / ALM benchmark and yield feeds</t>
        </is>
      </c>
      <c r="C33" s="18" t="inlineStr">
        <is>
          <t>INT-FIN-07</t>
        </is>
      </c>
      <c r="D33" s="18" t="inlineStr">
        <is>
          <t>tenant_year</t>
        </is>
      </c>
      <c r="E33" s="15">
        <f>IFERROR(INDEX('1_Inputs'!$C$37:$C$49,MATCH($D33,'1_Inputs'!$A$37:$A$49,0)),0)</f>
        <v/>
      </c>
      <c r="F33" s="10" t="n">
        <v>150000</v>
      </c>
      <c r="G33" s="10" t="n">
        <v>300000</v>
      </c>
      <c r="H33" s="10" t="n">
        <v>800000</v>
      </c>
      <c r="I33" s="22" t="inlineStr">
        <is>
          <t>Low</t>
        </is>
      </c>
      <c r="J33" s="18" t="inlineStr">
        <is>
          <t>Yes</t>
        </is>
      </c>
      <c r="K33" s="28" t="n">
        <v>1</v>
      </c>
      <c r="L33" s="29">
        <f>E33*INDEX($F33:$H33,'1_Inputs'!$B$54)*K33</f>
        <v/>
      </c>
      <c r="M33" s="14" t="inlineStr">
        <is>
          <t>Bank balances, facilities, benchmark/yield/FX and maturity feeds.</t>
        </is>
      </c>
    </row>
    <row r="34">
      <c r="A34" s="27" t="inlineStr">
        <is>
          <t>R30</t>
        </is>
      </c>
      <c r="B34" s="13" t="inlineStr">
        <is>
          <t>Vendor and partner payables (ERP connector)</t>
        </is>
      </c>
      <c r="C34" s="18" t="inlineStr">
        <is>
          <t>INT-FIN-08</t>
        </is>
      </c>
      <c r="D34" s="18" t="inlineStr">
        <is>
          <t>tenant_month</t>
        </is>
      </c>
      <c r="E34" s="15">
        <f>IFERROR(INDEX('1_Inputs'!$C$37:$C$49,MATCH($D34,'1_Inputs'!$A$37:$A$49,0)),0)</f>
        <v/>
      </c>
      <c r="F34" s="10" t="n">
        <v>5000</v>
      </c>
      <c r="G34" s="10" t="n">
        <v>9000</v>
      </c>
      <c r="H34" s="10" t="n">
        <v>25000</v>
      </c>
      <c r="I34" s="22" t="inlineStr">
        <is>
          <t>Low</t>
        </is>
      </c>
      <c r="J34" s="18" t="inlineStr">
        <is>
          <t>No</t>
        </is>
      </c>
      <c r="K34" s="28" t="n">
        <v>12</v>
      </c>
      <c r="L34" s="29">
        <f>E34*INDEX($F34:$H34,'1_Inputs'!$B$54)*K34</f>
        <v/>
      </c>
      <c r="M34" s="14" t="inlineStr">
        <is>
          <t>ERP invoice, beneficiary validation, payout and reconciliation.</t>
        </is>
      </c>
    </row>
    <row r="35">
      <c r="A35" s="27" t="inlineStr">
        <is>
          <t>R31</t>
        </is>
      </c>
      <c r="B35" s="13" t="inlineStr">
        <is>
          <t>Partner onboarding, identity and entitlements</t>
        </is>
      </c>
      <c r="C35" s="18" t="inlineStr">
        <is>
          <t>INT-PRT-01, INT-PRT-03</t>
        </is>
      </c>
      <c r="D35" s="18" t="inlineStr">
        <is>
          <t>partners_month</t>
        </is>
      </c>
      <c r="E35" s="15">
        <f>IFERROR(INDEX('1_Inputs'!$C$37:$C$49,MATCH($D35,'1_Inputs'!$A$37:$A$49,0)),0)</f>
        <v/>
      </c>
      <c r="F35" s="10" t="n">
        <v>150</v>
      </c>
      <c r="G35" s="10" t="n">
        <v>300</v>
      </c>
      <c r="H35" s="10" t="n">
        <v>800</v>
      </c>
      <c r="I35" s="22" t="inlineStr">
        <is>
          <t>Low</t>
        </is>
      </c>
      <c r="J35" s="18" t="inlineStr">
        <is>
          <t>No</t>
        </is>
      </c>
      <c r="K35" s="28" t="n">
        <v>12</v>
      </c>
      <c r="L35" s="29">
        <f>E35*INDEX($F35:$H35,'1_Inputs'!$B$54)*K35</f>
        <v/>
      </c>
      <c r="M35" s="14" t="inlineStr">
        <is>
          <t>Per active partner per month: KYB refresh, partner IdP/SCIM or user feed, territory/role/credential revoke.</t>
        </is>
      </c>
    </row>
    <row r="36">
      <c r="A36" s="27" t="inlineStr">
        <is>
          <t>R32</t>
        </is>
      </c>
      <c r="B36" s="13" t="inlineStr">
        <is>
          <t>Partner lead and service exchange</t>
        </is>
      </c>
      <c r="C36" s="18" t="inlineStr">
        <is>
          <t>INT-PRT-02</t>
        </is>
      </c>
      <c r="D36" s="18" t="inlineStr">
        <is>
          <t>partners_month</t>
        </is>
      </c>
      <c r="E36" s="15">
        <f>IFERROR(INDEX('1_Inputs'!$C$37:$C$49,MATCH($D36,'1_Inputs'!$A$37:$A$49,0)),0)</f>
        <v/>
      </c>
      <c r="F36" s="10" t="n">
        <v>100</v>
      </c>
      <c r="G36" s="10" t="n">
        <v>200</v>
      </c>
      <c r="H36" s="10" t="n">
        <v>600</v>
      </c>
      <c r="I36" s="22" t="inlineStr">
        <is>
          <t>Low</t>
        </is>
      </c>
      <c r="J36" s="18" t="inlineStr">
        <is>
          <t>No</t>
        </is>
      </c>
      <c r="K36" s="28" t="n">
        <v>12</v>
      </c>
      <c r="L36" s="29">
        <f>E36*INDEX($F36:$H36,'1_Inputs'!$B$54)*K36</f>
        <v/>
      </c>
      <c r="M36" s="14" t="inlineStr">
        <is>
          <t>Lead/application/status/document/consent exchange and dedupe.</t>
        </is>
      </c>
    </row>
    <row r="37">
      <c r="A37" s="27" t="inlineStr">
        <is>
          <t>R33</t>
        </is>
      </c>
      <c r="B37" s="13" t="inlineStr">
        <is>
          <t>Partner commission, invoice and settlement</t>
        </is>
      </c>
      <c r="C37" s="18" t="inlineStr">
        <is>
          <t>INT-PRT-04, INT-PRT-05</t>
        </is>
      </c>
      <c r="D37" s="18" t="inlineStr">
        <is>
          <t>partners_month</t>
        </is>
      </c>
      <c r="E37" s="15">
        <f>IFERROR(INDEX('1_Inputs'!$C$37:$C$49,MATCH($D37,'1_Inputs'!$A$37:$A$49,0)),0)</f>
        <v/>
      </c>
      <c r="F37" s="10" t="n">
        <v>200</v>
      </c>
      <c r="G37" s="10" t="n">
        <v>400</v>
      </c>
      <c r="H37" s="10" t="n">
        <v>1000</v>
      </c>
      <c r="I37" s="22" t="inlineStr">
        <is>
          <t>Low</t>
        </is>
      </c>
      <c r="J37" s="18" t="inlineStr">
        <is>
          <t>No</t>
        </is>
      </c>
      <c r="K37" s="28" t="n">
        <v>12</v>
      </c>
      <c r="L37" s="29">
        <f>E37*INDEX($F37:$H37,'1_Inputs'!$B$54)*K37</f>
        <v/>
      </c>
      <c r="M37" s="14" t="inlineStr">
        <is>
          <t>Event/statement, GST/TDS, dispute, approval, beneficiary validation, payout and reconciliation.</t>
        </is>
      </c>
    </row>
    <row r="38">
      <c r="A38" s="27" t="inlineStr">
        <is>
          <t>R34</t>
        </is>
      </c>
      <c r="B38" s="13" t="inlineStr">
        <is>
          <t>Partner oversight and SLA telemetry</t>
        </is>
      </c>
      <c r="C38" s="18" t="inlineStr">
        <is>
          <t>INT-PRT-06</t>
        </is>
      </c>
      <c r="D38" s="18" t="inlineStr">
        <is>
          <t>partners_month</t>
        </is>
      </c>
      <c r="E38" s="15">
        <f>IFERROR(INDEX('1_Inputs'!$C$37:$C$49,MATCH($D38,'1_Inputs'!$A$37:$A$49,0)),0)</f>
        <v/>
      </c>
      <c r="F38" s="10" t="n">
        <v>80</v>
      </c>
      <c r="G38" s="10" t="n">
        <v>150</v>
      </c>
      <c r="H38" s="10" t="n">
        <v>400</v>
      </c>
      <c r="I38" s="22" t="inlineStr">
        <is>
          <t>Low</t>
        </is>
      </c>
      <c r="J38" s="18" t="inlineStr">
        <is>
          <t>No</t>
        </is>
      </c>
      <c r="K38" s="28" t="n">
        <v>12</v>
      </c>
      <c r="L38" s="29">
        <f>E38*INDEX($F38:$H38,'1_Inputs'!$B$54)*K38</f>
        <v/>
      </c>
      <c r="M38" s="14" t="inlineStr">
        <is>
          <t>Incident/complaint/conduct/capacity/exit telemetry and evidence.</t>
        </is>
      </c>
    </row>
    <row r="39">
      <c r="A39" s="27" t="inlineStr">
        <is>
          <t>R35</t>
        </is>
      </c>
      <c r="B39" s="13" t="inlineStr">
        <is>
          <t>CDC, warehouse and lake pipeline</t>
        </is>
      </c>
      <c r="C39" s="18" t="inlineStr">
        <is>
          <t>INT-PLT-09</t>
        </is>
      </c>
      <c r="D39" s="18" t="inlineStr">
        <is>
          <t>tenant_month</t>
        </is>
      </c>
      <c r="E39" s="15">
        <f>IFERROR(INDEX('1_Inputs'!$C$37:$C$49,MATCH($D39,'1_Inputs'!$A$37:$A$49,0)),0)</f>
        <v/>
      </c>
      <c r="F39" s="10" t="n">
        <v>10000</v>
      </c>
      <c r="G39" s="10" t="n">
        <v>22000</v>
      </c>
      <c r="H39" s="10" t="n">
        <v>70000</v>
      </c>
      <c r="I39" s="22" t="inlineStr">
        <is>
          <t>Low</t>
        </is>
      </c>
      <c r="J39" s="18" t="inlineStr">
        <is>
          <t>No</t>
        </is>
      </c>
      <c r="K39" s="28" t="n">
        <v>12</v>
      </c>
      <c r="L39" s="29">
        <f>E39*INDEX($F39:$H39,'1_Inputs'!$B$54)*K39</f>
        <v/>
      </c>
      <c r="M39" s="14" t="inlineStr">
        <is>
          <t>Log CDC, schema, checkpoint/backfill, sink, data quality, lineage and marts.</t>
        </is>
      </c>
    </row>
    <row r="40">
      <c r="A40" s="27" t="inlineStr">
        <is>
          <t>R36</t>
        </is>
      </c>
      <c r="B40" s="13" t="inlineStr">
        <is>
          <t>BI datasets, dashboards and row-level access</t>
        </is>
      </c>
      <c r="C40" s="18" t="inlineStr">
        <is>
          <t>INT-PLT-10</t>
        </is>
      </c>
      <c r="D40" s="18" t="inlineStr">
        <is>
          <t>bi_seats_month</t>
        </is>
      </c>
      <c r="E40" s="15">
        <f>IFERROR(INDEX('1_Inputs'!$C$37:$C$49,MATCH($D40,'1_Inputs'!$A$37:$A$49,0)),0)</f>
        <v/>
      </c>
      <c r="F40" s="10" t="n">
        <v>800</v>
      </c>
      <c r="G40" s="10" t="n">
        <v>1500</v>
      </c>
      <c r="H40" s="10" t="n">
        <v>4000</v>
      </c>
      <c r="I40" s="22" t="inlineStr">
        <is>
          <t>Low</t>
        </is>
      </c>
      <c r="J40" s="18" t="inlineStr">
        <is>
          <t>No</t>
        </is>
      </c>
      <c r="K40" s="28" t="n">
        <v>12</v>
      </c>
      <c r="L40" s="29">
        <f>E40*INDEX($F40:$H40,'1_Inputs'!$B$54)*K40</f>
        <v/>
      </c>
      <c r="M40" s="14" t="inlineStr">
        <is>
          <t>Per BI seat per month with row-level tenant access enforcement.</t>
        </is>
      </c>
    </row>
    <row r="41">
      <c r="A41" s="27" t="inlineStr">
        <is>
          <t>R37</t>
        </is>
      </c>
      <c r="B41" s="13" t="inlineStr">
        <is>
          <t>Tenant billing: meter, invoice, tax, payment</t>
        </is>
      </c>
      <c r="C41" s="18" t="inlineStr">
        <is>
          <t>INT-PLT-12, INT-ADM-08</t>
        </is>
      </c>
      <c r="D41" s="18" t="inlineStr">
        <is>
          <t>tenant_month</t>
        </is>
      </c>
      <c r="E41" s="15">
        <f>IFERROR(INDEX('1_Inputs'!$C$37:$C$49,MATCH($D41,'1_Inputs'!$A$37:$A$49,0)),0)</f>
        <v/>
      </c>
      <c r="F41" s="10" t="n">
        <v>6000</v>
      </c>
      <c r="G41" s="10" t="n">
        <v>12000</v>
      </c>
      <c r="H41" s="10" t="n">
        <v>35000</v>
      </c>
      <c r="I41" s="22" t="inlineStr">
        <is>
          <t>Low</t>
        </is>
      </c>
      <c r="J41" s="18" t="inlineStr">
        <is>
          <t>No</t>
        </is>
      </c>
      <c r="K41" s="28" t="n">
        <v>12</v>
      </c>
      <c r="L41" s="29">
        <f>E41*INDEX($F41:$H41,'1_Inputs'!$B$54)*K41</f>
        <v/>
      </c>
      <c r="M41" s="14" t="inlineStr">
        <is>
          <t>DOES NOT EXIST YET. INT-ADM-08 records 'Commercial controls only; no billing/tax/payment provider'. This line is what it will cost to run the meter this whole model depends on.</t>
        </is>
      </c>
    </row>
    <row r="42">
      <c r="B42" s="30" t="inlineStr">
        <is>
          <t>TOTAL recurring ₹ per year</t>
        </is>
      </c>
      <c r="L42" s="31">
        <f>SUM(L5:L41)</f>
        <v/>
      </c>
    </row>
    <row r="43">
      <c r="B43" s="13" t="inlineStr">
        <is>
          <t xml:space="preserve">  of which pass-through</t>
        </is>
      </c>
      <c r="L43" s="29">
        <f>SUMIF($J$5:$J$41,"Yes",L5:L41)</f>
        <v/>
      </c>
    </row>
    <row r="44">
      <c r="B44" s="13" t="inlineStr">
        <is>
          <t xml:space="preserve">  of which platform-borne</t>
        </is>
      </c>
      <c r="L44" s="29">
        <f>SUMIF($J$5:$J$41,"No",L5:L41)</f>
        <v/>
      </c>
    </row>
    <row r="46">
      <c r="A46" s="3" t="inlineStr">
        <is>
          <t>One-time admission cost (INT-ADM-*) — flows into onboarding</t>
        </is>
      </c>
      <c r="B46" s="4" t="n"/>
      <c r="C46" s="4" t="n"/>
      <c r="D46" s="4" t="n"/>
      <c r="E46" s="4" t="n"/>
      <c r="F46" s="4" t="n"/>
      <c r="G46" s="4" t="n"/>
      <c r="H46" s="4" t="n"/>
      <c r="I46" s="4" t="n"/>
      <c r="J46" s="4" t="n"/>
      <c r="K46" s="4" t="n"/>
      <c r="L46" s="4" t="n"/>
      <c r="M46" s="4" t="n"/>
    </row>
    <row r="47" ht="20" customHeight="1">
      <c r="A47" s="11" t="inlineStr">
        <is>
          <t>ID</t>
        </is>
      </c>
      <c r="B47" s="11" t="inlineStr">
        <is>
          <t>Admission cost driver</t>
        </is>
      </c>
      <c r="C47" s="11" t="inlineStr">
        <is>
          <t>INT ID</t>
        </is>
      </c>
      <c r="D47" s="11" t="inlineStr"/>
      <c r="E47" s="11" t="inlineStr"/>
      <c r="F47" s="11" t="inlineStr">
        <is>
          <t>Low ₹</t>
        </is>
      </c>
      <c r="G47" s="11" t="inlineStr">
        <is>
          <t>Base ₹</t>
        </is>
      </c>
      <c r="H47" s="11" t="inlineStr">
        <is>
          <t>High ₹</t>
        </is>
      </c>
      <c r="I47" s="11" t="inlineStr">
        <is>
          <t>Confidence</t>
        </is>
      </c>
      <c r="J47" s="11" t="inlineStr"/>
      <c r="K47" s="11" t="inlineStr"/>
      <c r="L47" s="11" t="inlineStr">
        <is>
          <t>₹ one-time</t>
        </is>
      </c>
      <c r="M47" s="11" t="inlineStr">
        <is>
          <t>Note</t>
        </is>
      </c>
    </row>
    <row r="48">
      <c r="A48" s="27" t="inlineStr">
        <is>
          <t>A01</t>
        </is>
      </c>
      <c r="B48" s="13" t="inlineStr">
        <is>
          <t>Signup contact verification and invitations</t>
        </is>
      </c>
      <c r="C48" s="18" t="inlineStr">
        <is>
          <t>INT-ADM-01</t>
        </is>
      </c>
      <c r="F48" s="10" t="n">
        <v>500</v>
      </c>
      <c r="G48" s="10" t="n">
        <v>1200</v>
      </c>
      <c r="H48" s="10" t="n">
        <v>4000</v>
      </c>
      <c r="I48" s="22" t="inlineStr">
        <is>
          <t>Low</t>
        </is>
      </c>
      <c r="L48" s="29">
        <f>INDEX($F48:$H48,'1_Inputs'!$B$54)</f>
        <v/>
      </c>
      <c r="M48" s="14" t="inlineStr">
        <is>
          <t>Work-email and mobile OTP, invite/expiry, DLT template, delivery/bounce.</t>
        </is>
      </c>
    </row>
    <row r="49">
      <c r="A49" s="27" t="inlineStr">
        <is>
          <t>A02</t>
        </is>
      </c>
      <c r="B49" s="13" t="inlineStr">
        <is>
          <t>Legal-entity and tax identity verification</t>
        </is>
      </c>
      <c r="C49" s="18" t="inlineStr">
        <is>
          <t>INT-ADM-02</t>
        </is>
      </c>
      <c r="F49" s="10" t="n">
        <v>2000</v>
      </c>
      <c r="G49" s="10" t="n">
        <v>4500</v>
      </c>
      <c r="H49" s="10" t="n">
        <v>12000</v>
      </c>
      <c r="I49" s="22" t="inlineStr">
        <is>
          <t>Low</t>
        </is>
      </c>
      <c r="L49" s="29">
        <f>INDEX($F49:$H49,'1_Inputs'!$B$54)</f>
        <v/>
      </c>
      <c r="M49" s="14" t="inlineStr">
        <is>
          <t>MCA company/LLP master, CIN/LLPIN, directors/signatories, GSTIN, PAN/TAN, Udyam status and change evidence.</t>
        </is>
      </c>
    </row>
    <row r="50">
      <c r="A50" s="27" t="inlineStr">
        <is>
          <t>A03</t>
        </is>
      </c>
      <c r="B50" s="13" t="inlineStr">
        <is>
          <t>Regulated-entity authority verification</t>
        </is>
      </c>
      <c r="C50" s="18" t="inlineStr">
        <is>
          <t>INT-ADM-03</t>
        </is>
      </c>
      <c r="F50" s="10" t="n">
        <v>1000</v>
      </c>
      <c r="G50" s="10" t="n">
        <v>2500</v>
      </c>
      <c r="H50" s="10" t="n">
        <v>8000</v>
      </c>
      <c r="I50" s="22" t="inlineStr">
        <is>
          <t>Low</t>
        </is>
      </c>
      <c r="L50" s="29">
        <f>INDEX($F50:$H50,'1_Inputs'!$B$54)</f>
        <v/>
      </c>
      <c r="M50" s="14" t="inlineStr">
        <is>
          <t>RBI and other-authority current/cancelled lists, licence/CoR category and layer.</t>
        </is>
      </c>
    </row>
    <row r="51">
      <c r="A51" s="27" t="inlineStr">
        <is>
          <t>A04</t>
        </is>
      </c>
      <c r="B51" s="13" t="inlineStr">
        <is>
          <t>Representative authority and signature validation</t>
        </is>
      </c>
      <c r="C51" s="18" t="inlineStr">
        <is>
          <t>INT-ADM-04</t>
        </is>
      </c>
      <c r="F51" s="10" t="n">
        <v>3000</v>
      </c>
      <c r="G51" s="10" t="n">
        <v>7000</v>
      </c>
      <c r="H51" s="10" t="n">
        <v>20000</v>
      </c>
      <c r="I51" s="22" t="inlineStr">
        <is>
          <t>Low</t>
        </is>
      </c>
      <c r="L51" s="29">
        <f>INDEX($F51:$H51,'1_Inputs'!$B$54)</f>
        <v/>
      </c>
      <c r="M51" s="14" t="inlineStr">
        <is>
          <t>Director/DIN/signatory match, board resolution, DSC/eSign chain, CRL/OCSP and long-term validation.</t>
        </is>
      </c>
    </row>
    <row r="52">
      <c r="A52" s="27" t="inlineStr">
        <is>
          <t>A05</t>
        </is>
      </c>
      <c r="B52" s="13" t="inlineStr">
        <is>
          <t>Corporate domain and contact assurance</t>
        </is>
      </c>
      <c r="C52" s="18" t="inlineStr">
        <is>
          <t>INT-ADM-05</t>
        </is>
      </c>
      <c r="F52" s="10" t="n">
        <v>500</v>
      </c>
      <c r="G52" s="10" t="n">
        <v>1200</v>
      </c>
      <c r="H52" s="10" t="n">
        <v>4000</v>
      </c>
      <c r="I52" s="22" t="inlineStr">
        <is>
          <t>Low</t>
        </is>
      </c>
      <c r="L52" s="29">
        <f>INDEX($F52:$H52,'1_Inputs'!$B$54)</f>
        <v/>
      </c>
      <c r="M52" s="14" t="inlineStr">
        <is>
          <t>DNS TXT challenge, RDAP/WHOIS, MX/mailbox, domain age and reputation.</t>
        </is>
      </c>
    </row>
    <row r="53">
      <c r="A53" s="27" t="inlineStr">
        <is>
          <t>A06</t>
        </is>
      </c>
      <c r="B53" s="13" t="inlineStr">
        <is>
          <t>Signup abuse and fraud defence</t>
        </is>
      </c>
      <c r="C53" s="18" t="inlineStr">
        <is>
          <t>INT-ADM-06</t>
        </is>
      </c>
      <c r="F53" s="10" t="n">
        <v>200</v>
      </c>
      <c r="G53" s="10" t="n">
        <v>600</v>
      </c>
      <c r="H53" s="10" t="n">
        <v>2500</v>
      </c>
      <c r="I53" s="22" t="inlineStr">
        <is>
          <t>Low</t>
        </is>
      </c>
      <c r="L53" s="29">
        <f>INDEX($F53:$H53,'1_Inputs'!$B$54)</f>
        <v/>
      </c>
      <c r="M53" s="14" t="inlineStr">
        <is>
          <t>WAF/rate-limit/bot challenge, IP/device/email/phone/SIM and velocity intelligence at admission.</t>
        </is>
      </c>
    </row>
    <row r="54">
      <c r="A54" s="27" t="inlineStr">
        <is>
          <t>A07</t>
        </is>
      </c>
      <c r="B54" s="13" t="inlineStr">
        <is>
          <t>Contract and outsourcing due diligence</t>
        </is>
      </c>
      <c r="C54" s="18" t="inlineStr">
        <is>
          <t>INT-ADM-07</t>
        </is>
      </c>
      <c r="F54" s="10" t="n">
        <v>15000</v>
      </c>
      <c r="G54" s="10" t="n">
        <v>35000</v>
      </c>
      <c r="H54" s="10" t="n">
        <v>90000</v>
      </c>
      <c r="I54" s="22" t="inlineStr">
        <is>
          <t>Low</t>
        </is>
      </c>
      <c r="L54" s="29">
        <f>INDEX($F54:$H54,'1_Inputs'!$B$54)</f>
        <v/>
      </c>
      <c r="M54" s="14" t="inlineStr">
        <is>
          <t>NDA/MSA/DPA/SLA/order-form eSign, questionnaire and evidence exchange, subprocessor/BCP/DR/exit approval.</t>
        </is>
      </c>
    </row>
    <row r="55">
      <c r="B55" s="30" t="inlineStr">
        <is>
          <t>TOTAL admission ₹ (one time)</t>
        </is>
      </c>
      <c r="L55" s="31">
        <f>SUM(L48:L54)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5"/>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4 — Journey unit matrix: origination</t>
        </is>
      </c>
    </row>
    <row r="2">
      <c r="A2" s="2" t="inlineStr">
        <is>
          <t>Units consumed per APPLICATION STARTED, before funnel attrition. This is where the 21 journeys stop being one product and become 21 different cost structures.</t>
        </is>
      </c>
    </row>
    <row r="3" ht="128" customHeight="1">
      <c r="A3" s="32" t="inlineStr">
        <is>
          <t>Driver ID</t>
        </is>
      </c>
      <c r="B3" s="32" t="inlineStr">
        <is>
          <t>Cost driver</t>
        </is>
      </c>
      <c r="C3" s="33" t="inlineStr">
        <is>
          <t>personal_loan</t>
        </is>
      </c>
      <c r="D3" s="33" t="inlineStr">
        <is>
          <t>co_lending_programme</t>
        </is>
      </c>
      <c r="E3" s="33" t="inlineStr">
        <is>
          <t>msme_working_capital</t>
        </is>
      </c>
      <c r="F3" s="33" t="inlineStr">
        <is>
          <t>msme_term_loan</t>
        </is>
      </c>
      <c r="G3" s="33" t="inlineStr">
        <is>
          <t>professional_practice_loan</t>
        </is>
      </c>
      <c r="H3" s="33" t="inlineStr">
        <is>
          <t>secured_business_loan</t>
        </is>
      </c>
      <c r="I3" s="33" t="inlineStr">
        <is>
          <t>loan_against_property</t>
        </is>
      </c>
      <c r="J3" s="33" t="inlineStr">
        <is>
          <t>home_loan</t>
        </is>
      </c>
      <c r="K3" s="33" t="inlineStr">
        <is>
          <t>equipment_machinery_finance</t>
        </is>
      </c>
      <c r="L3" s="33" t="inlineStr">
        <is>
          <t>green_equipment_finance</t>
        </is>
      </c>
      <c r="M3" s="33" t="inlineStr">
        <is>
          <t>personal_vehicle_loan</t>
        </is>
      </c>
      <c r="N3" s="33" t="inlineStr">
        <is>
          <t>commercial_vehicle_finance</t>
        </is>
      </c>
      <c r="O3" s="33" t="inlineStr">
        <is>
          <t>gold_loan</t>
        </is>
      </c>
      <c r="P3" s="33" t="inlineStr">
        <is>
          <t>education_loan</t>
        </is>
      </c>
      <c r="Q3" s="33" t="inlineStr">
        <is>
          <t>agriculture_allied_finance</t>
        </is>
      </c>
      <c r="R3" s="33" t="inlineStr">
        <is>
          <t>microfinance_group_lending</t>
        </is>
      </c>
      <c r="S3" s="33" t="inlineStr">
        <is>
          <t>consumer_durable_finance</t>
        </is>
      </c>
      <c r="T3" s="33" t="inlineStr">
        <is>
          <t>invoice_discounting</t>
        </is>
      </c>
      <c r="U3" s="33" t="inlineStr">
        <is>
          <t>purchase_order_finance</t>
        </is>
      </c>
      <c r="V3" s="33" t="inlineStr">
        <is>
          <t>supply_chain_finance</t>
        </is>
      </c>
      <c r="W3" s="33" t="inlineStr">
        <is>
          <t>trade_finance_workflow</t>
        </is>
      </c>
    </row>
    <row r="4">
      <c r="A4" s="4" t="n"/>
      <c r="B4" s="34" t="inlineStr">
        <is>
          <t>Archetype</t>
        </is>
      </c>
      <c r="C4" s="6" t="inlineStr">
        <is>
          <t>unsecured_term</t>
        </is>
      </c>
      <c r="D4" s="6" t="inlineStr">
        <is>
          <t>co_lending</t>
        </is>
      </c>
      <c r="E4" s="6" t="inlineStr">
        <is>
          <t>revolving_working_capital</t>
        </is>
      </c>
      <c r="F4" s="6" t="inlineStr">
        <is>
          <t>business_term</t>
        </is>
      </c>
      <c r="G4" s="6" t="inlineStr">
        <is>
          <t>business_term</t>
        </is>
      </c>
      <c r="H4" s="6" t="inlineStr">
        <is>
          <t>property_secured</t>
        </is>
      </c>
      <c r="I4" s="6" t="inlineStr">
        <is>
          <t>property_secured</t>
        </is>
      </c>
      <c r="J4" s="6" t="inlineStr">
        <is>
          <t>property_secured</t>
        </is>
      </c>
      <c r="K4" s="6" t="inlineStr">
        <is>
          <t>asset_finance</t>
        </is>
      </c>
      <c r="L4" s="6" t="inlineStr">
        <is>
          <t>asset_finance</t>
        </is>
      </c>
      <c r="M4" s="6" t="inlineStr">
        <is>
          <t>asset_finance</t>
        </is>
      </c>
      <c r="N4" s="6" t="inlineStr">
        <is>
          <t>asset_finance</t>
        </is>
      </c>
      <c r="O4" s="6" t="inlineStr">
        <is>
          <t>gold_custody</t>
        </is>
      </c>
      <c r="P4" s="6" t="inlineStr">
        <is>
          <t>priority_term</t>
        </is>
      </c>
      <c r="Q4" s="6" t="inlineStr">
        <is>
          <t>seasonal_field</t>
        </is>
      </c>
      <c r="R4" s="6" t="inlineStr">
        <is>
          <t>group_field</t>
        </is>
      </c>
      <c r="S4" s="6" t="inlineStr">
        <is>
          <t>merchant_pos</t>
        </is>
      </c>
      <c r="T4" s="6" t="inlineStr">
        <is>
          <t>trade_receivables</t>
        </is>
      </c>
      <c r="U4" s="6" t="inlineStr">
        <is>
          <t>trade_receivables</t>
        </is>
      </c>
      <c r="V4" s="6" t="inlineStr">
        <is>
          <t>trade_receivables</t>
        </is>
      </c>
      <c r="W4" s="6" t="inlineStr">
        <is>
          <t>trade_receivables</t>
        </is>
      </c>
    </row>
    <row r="5">
      <c r="A5" s="4" t="n"/>
      <c r="B5" s="34" t="inlineStr">
        <is>
          <t>Funnel preset</t>
        </is>
      </c>
      <c r="C5" s="6" t="inlineStr">
        <is>
          <t>Digital_Unsecured</t>
        </is>
      </c>
      <c r="D5" s="6" t="inlineStr">
        <is>
          <t>Digital_Unsecured</t>
        </is>
      </c>
      <c r="E5" s="6" t="inlineStr">
        <is>
          <t>MSME_Business</t>
        </is>
      </c>
      <c r="F5" s="6" t="inlineStr">
        <is>
          <t>MSME_Business</t>
        </is>
      </c>
      <c r="G5" s="6" t="inlineStr">
        <is>
          <t>MSME_Business</t>
        </is>
      </c>
      <c r="H5" s="6" t="inlineStr">
        <is>
          <t>Secured_HighTouch</t>
        </is>
      </c>
      <c r="I5" s="6" t="inlineStr">
        <is>
          <t>Secured_HighTouch</t>
        </is>
      </c>
      <c r="J5" s="6" t="inlineStr">
        <is>
          <t>Secured_HighTouch</t>
        </is>
      </c>
      <c r="K5" s="6" t="inlineStr">
        <is>
          <t>MSME_Business</t>
        </is>
      </c>
      <c r="L5" s="6" t="inlineStr">
        <is>
          <t>MSME_Business</t>
        </is>
      </c>
      <c r="M5" s="6" t="inlineStr">
        <is>
          <t>Digital_Unsecured</t>
        </is>
      </c>
      <c r="N5" s="6" t="inlineStr">
        <is>
          <t>MSME_Business</t>
        </is>
      </c>
      <c r="O5" s="6" t="inlineStr">
        <is>
          <t>Field_Group</t>
        </is>
      </c>
      <c r="P5" s="6" t="inlineStr">
        <is>
          <t>Secured_HighTouch</t>
        </is>
      </c>
      <c r="Q5" s="6" t="inlineStr">
        <is>
          <t>Field_Group</t>
        </is>
      </c>
      <c r="R5" s="6" t="inlineStr">
        <is>
          <t>Field_Group</t>
        </is>
      </c>
      <c r="S5" s="6" t="inlineStr">
        <is>
          <t>POS_Instant</t>
        </is>
      </c>
      <c r="T5" s="6" t="inlineStr">
        <is>
          <t>MSME_Business</t>
        </is>
      </c>
      <c r="U5" s="6" t="inlineStr">
        <is>
          <t>MSME_Business</t>
        </is>
      </c>
      <c r="V5" s="6" t="inlineStr">
        <is>
          <t>MSME_Business</t>
        </is>
      </c>
      <c r="W5" s="6" t="inlineStr">
        <is>
          <t>MSME_Business</t>
        </is>
      </c>
    </row>
    <row r="6">
      <c r="A6" s="4" t="n"/>
      <c r="B6" s="34" t="inlineStr">
        <is>
          <t>Avg ticket (₹)</t>
        </is>
      </c>
      <c r="C6" s="10" t="n">
        <v>250000</v>
      </c>
      <c r="D6" s="10" t="n">
        <v>300000</v>
      </c>
      <c r="E6" s="10" t="n">
        <v>1500000</v>
      </c>
      <c r="F6" s="10" t="n">
        <v>1200000</v>
      </c>
      <c r="G6" s="10" t="n">
        <v>1500000</v>
      </c>
      <c r="H6" s="10" t="n">
        <v>5000000</v>
      </c>
      <c r="I6" s="10" t="n">
        <v>6000000</v>
      </c>
      <c r="J6" s="10" t="n">
        <v>4500000</v>
      </c>
      <c r="K6" s="10" t="n">
        <v>2500000</v>
      </c>
      <c r="L6" s="10" t="n">
        <v>3000000</v>
      </c>
      <c r="M6" s="10" t="n">
        <v>800000</v>
      </c>
      <c r="N6" s="10" t="n">
        <v>1800000</v>
      </c>
      <c r="O6" s="10" t="n">
        <v>150000</v>
      </c>
      <c r="P6" s="10" t="n">
        <v>1000000</v>
      </c>
      <c r="Q6" s="10" t="n">
        <v>200000</v>
      </c>
      <c r="R6" s="10" t="n">
        <v>45000</v>
      </c>
      <c r="S6" s="10" t="n">
        <v>35000</v>
      </c>
      <c r="T6" s="10" t="n">
        <v>800000</v>
      </c>
      <c r="U6" s="10" t="n">
        <v>1500000</v>
      </c>
      <c r="V6" s="10" t="n">
        <v>1000000</v>
      </c>
      <c r="W6" s="10" t="n">
        <v>3000000</v>
      </c>
    </row>
    <row r="7">
      <c r="B7" s="35" t="inlineStr">
        <is>
          <t>Units per application started  ▼</t>
        </is>
      </c>
    </row>
    <row r="8">
      <c r="A8" s="27" t="inlineStr">
        <is>
          <t>D01</t>
        </is>
      </c>
      <c r="B8" s="13" t="inlineStr">
        <is>
          <t>Mobile/email OTP + delivery (DLT SMS / WhatsApp)</t>
        </is>
      </c>
      <c r="C8" s="36" t="n">
        <v>1</v>
      </c>
      <c r="D8" s="36" t="n">
        <v>1</v>
      </c>
      <c r="E8" s="36" t="n">
        <v>2</v>
      </c>
      <c r="F8" s="36" t="n">
        <v>2</v>
      </c>
      <c r="G8" s="36" t="n">
        <v>2</v>
      </c>
      <c r="H8" s="36" t="n">
        <v>2</v>
      </c>
      <c r="I8" s="36" t="n">
        <v>2</v>
      </c>
      <c r="J8" s="36" t="n">
        <v>2</v>
      </c>
      <c r="K8" s="36" t="n">
        <v>2</v>
      </c>
      <c r="L8" s="36" t="n">
        <v>2</v>
      </c>
      <c r="M8" s="36" t="n">
        <v>1</v>
      </c>
      <c r="N8" s="36" t="n">
        <v>2</v>
      </c>
      <c r="O8" s="36" t="n">
        <v>1</v>
      </c>
      <c r="P8" s="36" t="n">
        <v>2</v>
      </c>
      <c r="Q8" s="36" t="n">
        <v>1</v>
      </c>
      <c r="R8" s="36" t="n">
        <v>1</v>
      </c>
      <c r="S8" s="36" t="n">
        <v>1</v>
      </c>
      <c r="T8" s="36" t="n">
        <v>2</v>
      </c>
      <c r="U8" s="36" t="n">
        <v>2</v>
      </c>
      <c r="V8" s="36" t="n">
        <v>2</v>
      </c>
      <c r="W8" s="36" t="n">
        <v>2</v>
      </c>
    </row>
    <row r="9">
      <c r="A9" s="27" t="inlineStr">
        <is>
          <t>D02</t>
        </is>
      </c>
      <c r="B9" s="13" t="inlineStr">
        <is>
          <t>Lead capture, dedupe and CRM sync</t>
        </is>
      </c>
      <c r="C9" s="36" t="n">
        <v>1</v>
      </c>
      <c r="D9" s="36" t="n">
        <v>1</v>
      </c>
      <c r="E9" s="36" t="n">
        <v>1</v>
      </c>
      <c r="F9" s="36" t="n">
        <v>1</v>
      </c>
      <c r="G9" s="36" t="n">
        <v>1</v>
      </c>
      <c r="H9" s="36" t="n">
        <v>1</v>
      </c>
      <c r="I9" s="36" t="n">
        <v>1</v>
      </c>
      <c r="J9" s="36" t="n">
        <v>1</v>
      </c>
      <c r="K9" s="36" t="n">
        <v>1</v>
      </c>
      <c r="L9" s="36" t="n">
        <v>1</v>
      </c>
      <c r="M9" s="36" t="n">
        <v>1</v>
      </c>
      <c r="N9" s="36" t="n">
        <v>1</v>
      </c>
      <c r="O9" s="36" t="n">
        <v>1</v>
      </c>
      <c r="P9" s="36" t="n">
        <v>1</v>
      </c>
      <c r="Q9" s="36" t="n">
        <v>1</v>
      </c>
      <c r="R9" s="36" t="n">
        <v>1</v>
      </c>
      <c r="S9" s="36" t="n">
        <v>1</v>
      </c>
      <c r="T9" s="36" t="n">
        <v>1</v>
      </c>
      <c r="U9" s="36" t="n">
        <v>1</v>
      </c>
      <c r="V9" s="36" t="n">
        <v>1</v>
      </c>
      <c r="W9" s="36" t="n">
        <v>1</v>
      </c>
    </row>
    <row r="10">
      <c r="A10" s="27" t="inlineStr">
        <is>
          <t>D03</t>
        </is>
      </c>
      <c r="B10" s="13" t="inlineStr">
        <is>
          <t>Document upload + malware/DLP scan</t>
        </is>
      </c>
      <c r="C10" s="36" t="n">
        <v>4</v>
      </c>
      <c r="D10" s="36" t="n">
        <v>5</v>
      </c>
      <c r="E10" s="36" t="n">
        <v>16</v>
      </c>
      <c r="F10" s="36" t="n">
        <v>14</v>
      </c>
      <c r="G10" s="36" t="n">
        <v>10</v>
      </c>
      <c r="H10" s="36" t="n">
        <v>18</v>
      </c>
      <c r="I10" s="36" t="n">
        <v>18</v>
      </c>
      <c r="J10" s="36" t="n">
        <v>20</v>
      </c>
      <c r="K10" s="36" t="n">
        <v>16</v>
      </c>
      <c r="L10" s="36" t="n">
        <v>18</v>
      </c>
      <c r="M10" s="36" t="n">
        <v>6</v>
      </c>
      <c r="N10" s="36" t="n">
        <v>14</v>
      </c>
      <c r="O10" s="36" t="n">
        <v>2</v>
      </c>
      <c r="P10" s="36" t="n">
        <v>14</v>
      </c>
      <c r="Q10" s="36" t="n">
        <v>6</v>
      </c>
      <c r="R10" s="36" t="n">
        <v>3</v>
      </c>
      <c r="S10" s="36" t="n">
        <v>2</v>
      </c>
      <c r="T10" s="36" t="n">
        <v>12</v>
      </c>
      <c r="U10" s="36" t="n">
        <v>14</v>
      </c>
      <c r="V10" s="36" t="n">
        <v>8</v>
      </c>
      <c r="W10" s="36" t="n">
        <v>24</v>
      </c>
    </row>
    <row r="11">
      <c r="A11" s="27" t="inlineStr">
        <is>
          <t>D04</t>
        </is>
      </c>
      <c r="B11" s="13" t="inlineStr">
        <is>
          <t>DigiLocker consent + issued-document fetch</t>
        </is>
      </c>
      <c r="C11" s="36" t="n">
        <v>1</v>
      </c>
      <c r="D11" s="36" t="n">
        <v>1</v>
      </c>
      <c r="E11" s="36" t="n">
        <v>1</v>
      </c>
      <c r="F11" s="36" t="n">
        <v>1</v>
      </c>
      <c r="G11" s="36" t="n">
        <v>1</v>
      </c>
      <c r="H11" s="36" t="n">
        <v>1</v>
      </c>
      <c r="I11" s="36" t="n">
        <v>1</v>
      </c>
      <c r="J11" s="36" t="n">
        <v>1</v>
      </c>
      <c r="K11" s="36" t="n">
        <v>1</v>
      </c>
      <c r="L11" s="36" t="n">
        <v>1</v>
      </c>
      <c r="M11" s="36" t="n">
        <v>1</v>
      </c>
      <c r="N11" s="36" t="n">
        <v>1</v>
      </c>
      <c r="O11" s="37" t="n">
        <v>0</v>
      </c>
      <c r="P11" s="36" t="n">
        <v>1</v>
      </c>
      <c r="Q11" s="36" t="n">
        <v>1</v>
      </c>
      <c r="R11" s="37" t="n">
        <v>0</v>
      </c>
      <c r="S11" s="37" t="n">
        <v>0</v>
      </c>
      <c r="T11" s="37" t="n">
        <v>0</v>
      </c>
      <c r="U11" s="37" t="n">
        <v>0</v>
      </c>
      <c r="V11" s="37" t="n">
        <v>0</v>
      </c>
      <c r="W11" s="37" t="n">
        <v>0</v>
      </c>
    </row>
    <row r="12">
      <c r="A12" s="27" t="inlineStr">
        <is>
          <t>D05</t>
        </is>
      </c>
      <c r="B12" s="13" t="inlineStr">
        <is>
          <t>Device / SIM / IP fraud signal</t>
        </is>
      </c>
      <c r="C12" s="36" t="n">
        <v>1</v>
      </c>
      <c r="D12" s="36" t="n">
        <v>1</v>
      </c>
      <c r="E12" s="36" t="n">
        <v>1</v>
      </c>
      <c r="F12" s="36" t="n">
        <v>1</v>
      </c>
      <c r="G12" s="36" t="n">
        <v>1</v>
      </c>
      <c r="H12" s="36" t="n">
        <v>1</v>
      </c>
      <c r="I12" s="36" t="n">
        <v>1</v>
      </c>
      <c r="J12" s="36" t="n">
        <v>1</v>
      </c>
      <c r="K12" s="36" t="n">
        <v>1</v>
      </c>
      <c r="L12" s="36" t="n">
        <v>1</v>
      </c>
      <c r="M12" s="36" t="n">
        <v>1</v>
      </c>
      <c r="N12" s="36" t="n">
        <v>1</v>
      </c>
      <c r="O12" s="37" t="n">
        <v>0</v>
      </c>
      <c r="P12" s="36" t="n">
        <v>1</v>
      </c>
      <c r="Q12" s="37" t="n">
        <v>0</v>
      </c>
      <c r="R12" s="37" t="n">
        <v>0</v>
      </c>
      <c r="S12" s="36" t="n">
        <v>1</v>
      </c>
      <c r="T12" s="36" t="n">
        <v>1</v>
      </c>
      <c r="U12" s="36" t="n">
        <v>1</v>
      </c>
      <c r="V12" s="36" t="n">
        <v>1</v>
      </c>
      <c r="W12" s="36" t="n">
        <v>1</v>
      </c>
    </row>
    <row r="13">
      <c r="A13" s="27" t="inlineStr">
        <is>
          <t>D06</t>
        </is>
      </c>
      <c r="B13" s="13" t="inlineStr">
        <is>
          <t>PAN verification (Protean/NSDL)</t>
        </is>
      </c>
      <c r="C13" s="36" t="n">
        <v>1</v>
      </c>
      <c r="D13" s="36" t="n">
        <v>1</v>
      </c>
      <c r="E13" s="36" t="n">
        <v>3</v>
      </c>
      <c r="F13" s="36" t="n">
        <v>3</v>
      </c>
      <c r="G13" s="36" t="n">
        <v>2</v>
      </c>
      <c r="H13" s="36" t="n">
        <v>3</v>
      </c>
      <c r="I13" s="36" t="n">
        <v>2</v>
      </c>
      <c r="J13" s="36" t="n">
        <v>2</v>
      </c>
      <c r="K13" s="36" t="n">
        <v>3</v>
      </c>
      <c r="L13" s="36" t="n">
        <v>3</v>
      </c>
      <c r="M13" s="36" t="n">
        <v>1</v>
      </c>
      <c r="N13" s="36" t="n">
        <v>2</v>
      </c>
      <c r="O13" s="36" t="n">
        <v>1</v>
      </c>
      <c r="P13" s="36" t="n">
        <v>2</v>
      </c>
      <c r="Q13" s="36" t="n">
        <v>1</v>
      </c>
      <c r="R13" s="36" t="n">
        <v>0.6</v>
      </c>
      <c r="S13" s="36" t="n">
        <v>1</v>
      </c>
      <c r="T13" s="36" t="n">
        <v>2</v>
      </c>
      <c r="U13" s="36" t="n">
        <v>2</v>
      </c>
      <c r="V13" s="36" t="n">
        <v>2</v>
      </c>
      <c r="W13" s="36" t="n">
        <v>2</v>
      </c>
    </row>
    <row r="14">
      <c r="A14" s="27" t="inlineStr">
        <is>
          <t>D07</t>
        </is>
      </c>
      <c r="B14" s="13" t="inlineStr">
        <is>
          <t>Aadhaar offline XML / QR / KUA eKYC</t>
        </is>
      </c>
      <c r="C14" s="36" t="n">
        <v>1</v>
      </c>
      <c r="D14" s="36" t="n">
        <v>1</v>
      </c>
      <c r="E14" s="36" t="n">
        <v>2</v>
      </c>
      <c r="F14" s="36" t="n">
        <v>2</v>
      </c>
      <c r="G14" s="36" t="n">
        <v>1</v>
      </c>
      <c r="H14" s="36" t="n">
        <v>2</v>
      </c>
      <c r="I14" s="36" t="n">
        <v>2</v>
      </c>
      <c r="J14" s="36" t="n">
        <v>2</v>
      </c>
      <c r="K14" s="36" t="n">
        <v>2</v>
      </c>
      <c r="L14" s="36" t="n">
        <v>2</v>
      </c>
      <c r="M14" s="36" t="n">
        <v>1</v>
      </c>
      <c r="N14" s="36" t="n">
        <v>2</v>
      </c>
      <c r="O14" s="36" t="n">
        <v>1</v>
      </c>
      <c r="P14" s="36" t="n">
        <v>2</v>
      </c>
      <c r="Q14" s="36" t="n">
        <v>1</v>
      </c>
      <c r="R14" s="36" t="n">
        <v>1</v>
      </c>
      <c r="S14" s="36" t="n">
        <v>1</v>
      </c>
      <c r="T14" s="36" t="n">
        <v>1</v>
      </c>
      <c r="U14" s="36" t="n">
        <v>1</v>
      </c>
      <c r="V14" s="36" t="n">
        <v>1</v>
      </c>
      <c r="W14" s="36" t="n">
        <v>1</v>
      </c>
    </row>
    <row r="15">
      <c r="A15" s="27" t="inlineStr">
        <is>
          <t>D08</t>
        </is>
      </c>
      <c r="B15" s="13" t="inlineStr">
        <is>
          <t>CKYC search + record download (CERSAI)</t>
        </is>
      </c>
      <c r="C15" s="36" t="n">
        <v>1</v>
      </c>
      <c r="D15" s="36" t="n">
        <v>1</v>
      </c>
      <c r="E15" s="36" t="n">
        <v>2</v>
      </c>
      <c r="F15" s="36" t="n">
        <v>2</v>
      </c>
      <c r="G15" s="36" t="n">
        <v>1</v>
      </c>
      <c r="H15" s="36" t="n">
        <v>2</v>
      </c>
      <c r="I15" s="36" t="n">
        <v>2</v>
      </c>
      <c r="J15" s="36" t="n">
        <v>2</v>
      </c>
      <c r="K15" s="36" t="n">
        <v>2</v>
      </c>
      <c r="L15" s="36" t="n">
        <v>2</v>
      </c>
      <c r="M15" s="36" t="n">
        <v>1</v>
      </c>
      <c r="N15" s="36" t="n">
        <v>2</v>
      </c>
      <c r="O15" s="36" t="n">
        <v>1</v>
      </c>
      <c r="P15" s="36" t="n">
        <v>2</v>
      </c>
      <c r="Q15" s="36" t="n">
        <v>1</v>
      </c>
      <c r="R15" s="36" t="n">
        <v>1</v>
      </c>
      <c r="S15" s="36" t="n">
        <v>1</v>
      </c>
      <c r="T15" s="36" t="n">
        <v>1</v>
      </c>
      <c r="U15" s="36" t="n">
        <v>1</v>
      </c>
      <c r="V15" s="36" t="n">
        <v>1</v>
      </c>
      <c r="W15" s="36" t="n">
        <v>1</v>
      </c>
    </row>
    <row r="16">
      <c r="A16" s="27" t="inlineStr">
        <is>
          <t>D09</t>
        </is>
      </c>
      <c r="B16" s="13" t="inlineStr">
        <is>
          <t>V-CIP session (platform + agent handling time)</t>
        </is>
      </c>
      <c r="C16" s="36" t="n">
        <v>1</v>
      </c>
      <c r="D16" s="36" t="n">
        <v>1</v>
      </c>
      <c r="E16" s="36" t="n">
        <v>2</v>
      </c>
      <c r="F16" s="36" t="n">
        <v>2</v>
      </c>
      <c r="G16" s="36" t="n">
        <v>1</v>
      </c>
      <c r="H16" s="36" t="n">
        <v>2</v>
      </c>
      <c r="I16" s="36" t="n">
        <v>2</v>
      </c>
      <c r="J16" s="36" t="n">
        <v>2</v>
      </c>
      <c r="K16" s="36" t="n">
        <v>2</v>
      </c>
      <c r="L16" s="36" t="n">
        <v>2</v>
      </c>
      <c r="M16" s="36" t="n">
        <v>1</v>
      </c>
      <c r="N16" s="36" t="n">
        <v>1</v>
      </c>
      <c r="O16" s="37" t="n">
        <v>0</v>
      </c>
      <c r="P16" s="36" t="n">
        <v>2</v>
      </c>
      <c r="Q16" s="37" t="n">
        <v>0</v>
      </c>
      <c r="R16" s="37" t="n">
        <v>0</v>
      </c>
      <c r="S16" s="37" t="n">
        <v>0</v>
      </c>
      <c r="T16" s="36" t="n">
        <v>1</v>
      </c>
      <c r="U16" s="36" t="n">
        <v>1</v>
      </c>
      <c r="V16" s="36" t="n">
        <v>1</v>
      </c>
      <c r="W16" s="36" t="n">
        <v>1</v>
      </c>
    </row>
    <row r="17">
      <c r="A17" s="27" t="inlineStr">
        <is>
          <t>D10</t>
        </is>
      </c>
      <c r="B17" s="13" t="inlineStr">
        <is>
          <t>Liveness / face match / spoof detection</t>
        </is>
      </c>
      <c r="C17" s="36" t="n">
        <v>1</v>
      </c>
      <c r="D17" s="36" t="n">
        <v>1</v>
      </c>
      <c r="E17" s="36" t="n">
        <v>2</v>
      </c>
      <c r="F17" s="36" t="n">
        <v>2</v>
      </c>
      <c r="G17" s="36" t="n">
        <v>1</v>
      </c>
      <c r="H17" s="36" t="n">
        <v>2</v>
      </c>
      <c r="I17" s="36" t="n">
        <v>2</v>
      </c>
      <c r="J17" s="36" t="n">
        <v>2</v>
      </c>
      <c r="K17" s="36" t="n">
        <v>2</v>
      </c>
      <c r="L17" s="36" t="n">
        <v>2</v>
      </c>
      <c r="M17" s="36" t="n">
        <v>1</v>
      </c>
      <c r="N17" s="36" t="n">
        <v>1</v>
      </c>
      <c r="O17" s="36" t="n">
        <v>1</v>
      </c>
      <c r="P17" s="36" t="n">
        <v>2</v>
      </c>
      <c r="Q17" s="36" t="n">
        <v>1</v>
      </c>
      <c r="R17" s="36" t="n">
        <v>1</v>
      </c>
      <c r="S17" s="36" t="n">
        <v>1</v>
      </c>
      <c r="T17" s="36" t="n">
        <v>1</v>
      </c>
      <c r="U17" s="36" t="n">
        <v>1</v>
      </c>
      <c r="V17" s="36" t="n">
        <v>1</v>
      </c>
      <c r="W17" s="36" t="n">
        <v>1</v>
      </c>
    </row>
    <row r="18">
      <c r="A18" s="27" t="inlineStr">
        <is>
          <t>D11</t>
        </is>
      </c>
      <c r="B18" s="13" t="inlineStr">
        <is>
          <t>AML / PEP / sanctions / adverse media screen</t>
        </is>
      </c>
      <c r="C18" s="36" t="n">
        <v>1</v>
      </c>
      <c r="D18" s="36" t="n">
        <v>1</v>
      </c>
      <c r="E18" s="36" t="n">
        <v>4</v>
      </c>
      <c r="F18" s="36" t="n">
        <v>4</v>
      </c>
      <c r="G18" s="36" t="n">
        <v>2</v>
      </c>
      <c r="H18" s="36" t="n">
        <v>4</v>
      </c>
      <c r="I18" s="36" t="n">
        <v>3</v>
      </c>
      <c r="J18" s="36" t="n">
        <v>3</v>
      </c>
      <c r="K18" s="36" t="n">
        <v>4</v>
      </c>
      <c r="L18" s="36" t="n">
        <v>4</v>
      </c>
      <c r="M18" s="36" t="n">
        <v>1</v>
      </c>
      <c r="N18" s="36" t="n">
        <v>3</v>
      </c>
      <c r="O18" s="36" t="n">
        <v>1</v>
      </c>
      <c r="P18" s="36" t="n">
        <v>2</v>
      </c>
      <c r="Q18" s="36" t="n">
        <v>1</v>
      </c>
      <c r="R18" s="36" t="n">
        <v>1</v>
      </c>
      <c r="S18" s="36" t="n">
        <v>1</v>
      </c>
      <c r="T18" s="36" t="n">
        <v>4</v>
      </c>
      <c r="U18" s="36" t="n">
        <v>4</v>
      </c>
      <c r="V18" s="36" t="n">
        <v>3</v>
      </c>
      <c r="W18" s="36" t="n">
        <v>6</v>
      </c>
    </row>
    <row r="19">
      <c r="A19" s="27" t="inlineStr">
        <is>
          <t>D12</t>
        </is>
      </c>
      <c r="B19" s="13" t="inlineStr">
        <is>
          <t>KYB — GSTIN / Udyam / MCA entity verification</t>
        </is>
      </c>
      <c r="C19" s="37" t="n">
        <v>0</v>
      </c>
      <c r="D19" s="37" t="n">
        <v>0</v>
      </c>
      <c r="E19" s="36" t="n">
        <v>1</v>
      </c>
      <c r="F19" s="36" t="n">
        <v>1</v>
      </c>
      <c r="G19" s="36" t="n">
        <v>1</v>
      </c>
      <c r="H19" s="36" t="n">
        <v>1</v>
      </c>
      <c r="I19" s="37" t="n">
        <v>0</v>
      </c>
      <c r="J19" s="37" t="n">
        <v>0</v>
      </c>
      <c r="K19" s="36" t="n">
        <v>1</v>
      </c>
      <c r="L19" s="36" t="n">
        <v>1</v>
      </c>
      <c r="M19" s="37" t="n">
        <v>0</v>
      </c>
      <c r="N19" s="36" t="n">
        <v>1</v>
      </c>
      <c r="O19" s="37" t="n">
        <v>0</v>
      </c>
      <c r="P19" s="37" t="n">
        <v>0</v>
      </c>
      <c r="Q19" s="37" t="n">
        <v>0</v>
      </c>
      <c r="R19" s="37" t="n">
        <v>0</v>
      </c>
      <c r="S19" s="37" t="n">
        <v>0</v>
      </c>
      <c r="T19" s="36" t="n">
        <v>2</v>
      </c>
      <c r="U19" s="36" t="n">
        <v>2</v>
      </c>
      <c r="V19" s="36" t="n">
        <v>2</v>
      </c>
      <c r="W19" s="36" t="n">
        <v>2</v>
      </c>
    </row>
    <row r="20">
      <c r="A20" s="27" t="inlineStr">
        <is>
          <t>D13</t>
        </is>
      </c>
      <c r="B20" s="13" t="inlineStr">
        <is>
          <t>Director / signatory / UBO verification</t>
        </is>
      </c>
      <c r="C20" s="37" t="n">
        <v>0</v>
      </c>
      <c r="D20" s="37" t="n">
        <v>0</v>
      </c>
      <c r="E20" s="36" t="n">
        <v>2</v>
      </c>
      <c r="F20" s="36" t="n">
        <v>2</v>
      </c>
      <c r="G20" s="36" t="n">
        <v>1</v>
      </c>
      <c r="H20" s="36" t="n">
        <v>2</v>
      </c>
      <c r="I20" s="37" t="n">
        <v>0</v>
      </c>
      <c r="J20" s="37" t="n">
        <v>0</v>
      </c>
      <c r="K20" s="36" t="n">
        <v>2</v>
      </c>
      <c r="L20" s="36" t="n">
        <v>2</v>
      </c>
      <c r="M20" s="37" t="n">
        <v>0</v>
      </c>
      <c r="N20" s="36" t="n">
        <v>1</v>
      </c>
      <c r="O20" s="37" t="n">
        <v>0</v>
      </c>
      <c r="P20" s="37" t="n">
        <v>0</v>
      </c>
      <c r="Q20" s="37" t="n">
        <v>0</v>
      </c>
      <c r="R20" s="37" t="n">
        <v>0</v>
      </c>
      <c r="S20" s="37" t="n">
        <v>0</v>
      </c>
      <c r="T20" s="36" t="n">
        <v>2</v>
      </c>
      <c r="U20" s="36" t="n">
        <v>2</v>
      </c>
      <c r="V20" s="36" t="n">
        <v>1</v>
      </c>
      <c r="W20" s="36" t="n">
        <v>3</v>
      </c>
    </row>
    <row r="21">
      <c r="A21" s="27" t="inlineStr">
        <is>
          <t>D14</t>
        </is>
      </c>
      <c r="B21" s="13" t="inlineStr">
        <is>
          <t>Credit bureau — consumer (CIBIL/Experian/Equifax/CRIF)</t>
        </is>
      </c>
      <c r="C21" s="36" t="n">
        <v>1</v>
      </c>
      <c r="D21" s="36" t="n">
        <v>1</v>
      </c>
      <c r="E21" s="36" t="n">
        <v>2</v>
      </c>
      <c r="F21" s="36" t="n">
        <v>2</v>
      </c>
      <c r="G21" s="36" t="n">
        <v>1</v>
      </c>
      <c r="H21" s="36" t="n">
        <v>2</v>
      </c>
      <c r="I21" s="36" t="n">
        <v>2</v>
      </c>
      <c r="J21" s="36" t="n">
        <v>2</v>
      </c>
      <c r="K21" s="36" t="n">
        <v>2</v>
      </c>
      <c r="L21" s="36" t="n">
        <v>2</v>
      </c>
      <c r="M21" s="36" t="n">
        <v>1</v>
      </c>
      <c r="N21" s="36" t="n">
        <v>2</v>
      </c>
      <c r="O21" s="36" t="n">
        <v>0.3</v>
      </c>
      <c r="P21" s="36" t="n">
        <v>1</v>
      </c>
      <c r="Q21" s="36" t="n">
        <v>1</v>
      </c>
      <c r="R21" s="36" t="n">
        <v>1</v>
      </c>
      <c r="S21" s="36" t="n">
        <v>1</v>
      </c>
      <c r="T21" s="36" t="n">
        <v>1</v>
      </c>
      <c r="U21" s="36" t="n">
        <v>1</v>
      </c>
      <c r="V21" s="36" t="n">
        <v>1</v>
      </c>
      <c r="W21" s="36" t="n">
        <v>1</v>
      </c>
    </row>
    <row r="22">
      <c r="A22" s="27" t="inlineStr">
        <is>
          <t>D15</t>
        </is>
      </c>
      <c r="B22" s="13" t="inlineStr">
        <is>
          <t>Credit bureau — commercial (CMR / CCR)</t>
        </is>
      </c>
      <c r="C22" s="37" t="n">
        <v>0</v>
      </c>
      <c r="D22" s="37" t="n">
        <v>0</v>
      </c>
      <c r="E22" s="36" t="n">
        <v>1</v>
      </c>
      <c r="F22" s="36" t="n">
        <v>1</v>
      </c>
      <c r="G22" s="36" t="n">
        <v>0.5</v>
      </c>
      <c r="H22" s="36" t="n">
        <v>1</v>
      </c>
      <c r="I22" s="37" t="n">
        <v>0</v>
      </c>
      <c r="J22" s="37" t="n">
        <v>0</v>
      </c>
      <c r="K22" s="36" t="n">
        <v>1</v>
      </c>
      <c r="L22" s="36" t="n">
        <v>1</v>
      </c>
      <c r="M22" s="37" t="n">
        <v>0</v>
      </c>
      <c r="N22" s="36" t="n">
        <v>1</v>
      </c>
      <c r="O22" s="37" t="n">
        <v>0</v>
      </c>
      <c r="P22" s="37" t="n">
        <v>0</v>
      </c>
      <c r="Q22" s="37" t="n">
        <v>0</v>
      </c>
      <c r="R22" s="37" t="n">
        <v>0</v>
      </c>
      <c r="S22" s="37" t="n">
        <v>0</v>
      </c>
      <c r="T22" s="36" t="n">
        <v>1.5</v>
      </c>
      <c r="U22" s="36" t="n">
        <v>1.5</v>
      </c>
      <c r="V22" s="36" t="n">
        <v>1</v>
      </c>
      <c r="W22" s="36" t="n">
        <v>2</v>
      </c>
    </row>
    <row r="23">
      <c r="A23" s="27" t="inlineStr">
        <is>
          <t>D16</t>
        </is>
      </c>
      <c r="B23" s="13" t="inlineStr">
        <is>
          <t>Account Aggregator consent + FI data fetch</t>
        </is>
      </c>
      <c r="C23" s="36" t="n">
        <v>1</v>
      </c>
      <c r="D23" s="36" t="n">
        <v>1</v>
      </c>
      <c r="E23" s="36" t="n">
        <v>2</v>
      </c>
      <c r="F23" s="36" t="n">
        <v>2</v>
      </c>
      <c r="G23" s="36" t="n">
        <v>1</v>
      </c>
      <c r="H23" s="36" t="n">
        <v>2</v>
      </c>
      <c r="I23" s="36" t="n">
        <v>2</v>
      </c>
      <c r="J23" s="36" t="n">
        <v>2</v>
      </c>
      <c r="K23" s="36" t="n">
        <v>2</v>
      </c>
      <c r="L23" s="36" t="n">
        <v>2</v>
      </c>
      <c r="M23" s="36" t="n">
        <v>1</v>
      </c>
      <c r="N23" s="36" t="n">
        <v>2</v>
      </c>
      <c r="O23" s="37" t="n">
        <v>0</v>
      </c>
      <c r="P23" s="36" t="n">
        <v>1</v>
      </c>
      <c r="Q23" s="37" t="n">
        <v>0</v>
      </c>
      <c r="R23" s="37" t="n">
        <v>0</v>
      </c>
      <c r="S23" s="37" t="n">
        <v>0</v>
      </c>
      <c r="T23" s="36" t="n">
        <v>2</v>
      </c>
      <c r="U23" s="36" t="n">
        <v>2</v>
      </c>
      <c r="V23" s="36" t="n">
        <v>1</v>
      </c>
      <c r="W23" s="36" t="n">
        <v>2</v>
      </c>
    </row>
    <row r="24">
      <c r="A24" s="27" t="inlineStr">
        <is>
          <t>D17</t>
        </is>
      </c>
      <c r="B24" s="13" t="inlineStr">
        <is>
          <t>Bank statement analysis (parse, tamper, categorise)</t>
        </is>
      </c>
      <c r="C24" s="36" t="n">
        <v>1</v>
      </c>
      <c r="D24" s="36" t="n">
        <v>1</v>
      </c>
      <c r="E24" s="36" t="n">
        <v>2</v>
      </c>
      <c r="F24" s="36" t="n">
        <v>2</v>
      </c>
      <c r="G24" s="36" t="n">
        <v>1</v>
      </c>
      <c r="H24" s="36" t="n">
        <v>2</v>
      </c>
      <c r="I24" s="36" t="n">
        <v>2</v>
      </c>
      <c r="J24" s="36" t="n">
        <v>2</v>
      </c>
      <c r="K24" s="36" t="n">
        <v>2</v>
      </c>
      <c r="L24" s="36" t="n">
        <v>2</v>
      </c>
      <c r="M24" s="36" t="n">
        <v>1</v>
      </c>
      <c r="N24" s="36" t="n">
        <v>2</v>
      </c>
      <c r="O24" s="37" t="n">
        <v>0</v>
      </c>
      <c r="P24" s="36" t="n">
        <v>1</v>
      </c>
      <c r="Q24" s="37" t="n">
        <v>0</v>
      </c>
      <c r="R24" s="37" t="n">
        <v>0</v>
      </c>
      <c r="S24" s="37" t="n">
        <v>0</v>
      </c>
      <c r="T24" s="36" t="n">
        <v>2</v>
      </c>
      <c r="U24" s="36" t="n">
        <v>2</v>
      </c>
      <c r="V24" s="36" t="n">
        <v>1</v>
      </c>
      <c r="W24" s="36" t="n">
        <v>2</v>
      </c>
    </row>
    <row r="25">
      <c r="A25" s="27" t="inlineStr">
        <is>
          <t>D18</t>
        </is>
      </c>
      <c r="B25" s="13" t="inlineStr">
        <is>
          <t>Income / employment evidence (EPFO, ITR, 26AS, GST)</t>
        </is>
      </c>
      <c r="C25" s="36" t="n">
        <v>1</v>
      </c>
      <c r="D25" s="36" t="n">
        <v>1</v>
      </c>
      <c r="E25" s="36" t="n">
        <v>1</v>
      </c>
      <c r="F25" s="36" t="n">
        <v>1</v>
      </c>
      <c r="G25" s="36" t="n">
        <v>1</v>
      </c>
      <c r="H25" s="36" t="n">
        <v>2</v>
      </c>
      <c r="I25" s="36" t="n">
        <v>2</v>
      </c>
      <c r="J25" s="36" t="n">
        <v>2</v>
      </c>
      <c r="K25" s="36" t="n">
        <v>1</v>
      </c>
      <c r="L25" s="36" t="n">
        <v>1</v>
      </c>
      <c r="M25" s="36" t="n">
        <v>1</v>
      </c>
      <c r="N25" s="36" t="n">
        <v>1</v>
      </c>
      <c r="O25" s="37" t="n">
        <v>0</v>
      </c>
      <c r="P25" s="36" t="n">
        <v>1</v>
      </c>
      <c r="Q25" s="37" t="n">
        <v>0</v>
      </c>
      <c r="R25" s="37" t="n">
        <v>0</v>
      </c>
      <c r="S25" s="37" t="n">
        <v>0</v>
      </c>
      <c r="T25" s="36" t="n">
        <v>2</v>
      </c>
      <c r="U25" s="36" t="n">
        <v>2</v>
      </c>
      <c r="V25" s="36" t="n">
        <v>2</v>
      </c>
      <c r="W25" s="36" t="n">
        <v>2</v>
      </c>
    </row>
    <row r="26">
      <c r="A26" s="27" t="inlineStr">
        <is>
          <t>D19</t>
        </is>
      </c>
      <c r="B26" s="13" t="inlineStr">
        <is>
          <t>OCR / document extraction + authenticity</t>
        </is>
      </c>
      <c r="C26" s="36" t="n">
        <v>6</v>
      </c>
      <c r="D26" s="36" t="n">
        <v>7</v>
      </c>
      <c r="E26" s="36" t="n">
        <v>45</v>
      </c>
      <c r="F26" s="36" t="n">
        <v>40</v>
      </c>
      <c r="G26" s="36" t="n">
        <v>24</v>
      </c>
      <c r="H26" s="36" t="n">
        <v>55</v>
      </c>
      <c r="I26" s="36" t="n">
        <v>55</v>
      </c>
      <c r="J26" s="36" t="n">
        <v>60</v>
      </c>
      <c r="K26" s="36" t="n">
        <v>42</v>
      </c>
      <c r="L26" s="36" t="n">
        <v>48</v>
      </c>
      <c r="M26" s="36" t="n">
        <v>10</v>
      </c>
      <c r="N26" s="36" t="n">
        <v>35</v>
      </c>
      <c r="O26" s="36" t="n">
        <v>2</v>
      </c>
      <c r="P26" s="36" t="n">
        <v>30</v>
      </c>
      <c r="Q26" s="36" t="n">
        <v>8</v>
      </c>
      <c r="R26" s="36" t="n">
        <v>3</v>
      </c>
      <c r="S26" s="36" t="n">
        <v>1</v>
      </c>
      <c r="T26" s="36" t="n">
        <v>30</v>
      </c>
      <c r="U26" s="36" t="n">
        <v>34</v>
      </c>
      <c r="V26" s="36" t="n">
        <v>20</v>
      </c>
      <c r="W26" s="36" t="n">
        <v>60</v>
      </c>
    </row>
    <row r="27">
      <c r="A27" s="27" t="inlineStr">
        <is>
          <t>D20</t>
        </is>
      </c>
      <c r="B27" s="13" t="inlineStr">
        <is>
          <t>Field investigation / personal discussion visit</t>
        </is>
      </c>
      <c r="C27" s="37" t="n">
        <v>0</v>
      </c>
      <c r="D27" s="37" t="n">
        <v>0</v>
      </c>
      <c r="E27" s="36" t="n">
        <v>1</v>
      </c>
      <c r="F27" s="36" t="n">
        <v>1</v>
      </c>
      <c r="G27" s="36" t="n">
        <v>0.5</v>
      </c>
      <c r="H27" s="36" t="n">
        <v>1</v>
      </c>
      <c r="I27" s="36" t="n">
        <v>1</v>
      </c>
      <c r="J27" s="36" t="n">
        <v>1</v>
      </c>
      <c r="K27" s="36" t="n">
        <v>1</v>
      </c>
      <c r="L27" s="36" t="n">
        <v>1</v>
      </c>
      <c r="M27" s="37" t="n">
        <v>0</v>
      </c>
      <c r="N27" s="36" t="n">
        <v>1</v>
      </c>
      <c r="O27" s="37" t="n">
        <v>0</v>
      </c>
      <c r="P27" s="36" t="n">
        <v>0.6</v>
      </c>
      <c r="Q27" s="36" t="n">
        <v>1</v>
      </c>
      <c r="R27" s="36" t="n">
        <v>1</v>
      </c>
      <c r="S27" s="37" t="n">
        <v>0</v>
      </c>
      <c r="T27" s="37" t="n">
        <v>0</v>
      </c>
      <c r="U27" s="36" t="n">
        <v>0.5</v>
      </c>
      <c r="V27" s="37" t="n">
        <v>0</v>
      </c>
      <c r="W27" s="36" t="n">
        <v>0.5</v>
      </c>
    </row>
    <row r="28">
      <c r="A28" s="27" t="inlineStr">
        <is>
          <t>D21</t>
        </is>
      </c>
      <c r="B28" s="13" t="inlineStr">
        <is>
          <t>Property valuation report</t>
        </is>
      </c>
      <c r="C28" s="37" t="n">
        <v>0</v>
      </c>
      <c r="D28" s="37" t="n">
        <v>0</v>
      </c>
      <c r="E28" s="37" t="n">
        <v>0</v>
      </c>
      <c r="F28" s="37" t="n">
        <v>0</v>
      </c>
      <c r="G28" s="37" t="n">
        <v>0</v>
      </c>
      <c r="H28" s="36" t="n">
        <v>1.3</v>
      </c>
      <c r="I28" s="36" t="n">
        <v>1.3</v>
      </c>
      <c r="J28" s="36" t="n">
        <v>1.2</v>
      </c>
      <c r="K28" s="37" t="n">
        <v>0</v>
      </c>
      <c r="L28" s="37" t="n">
        <v>0</v>
      </c>
      <c r="M28" s="37" t="n">
        <v>0</v>
      </c>
      <c r="N28" s="37" t="n">
        <v>0</v>
      </c>
      <c r="O28" s="37" t="n">
        <v>0</v>
      </c>
      <c r="P28" s="36" t="n">
        <v>0.4</v>
      </c>
      <c r="Q28" s="37" t="n">
        <v>0</v>
      </c>
      <c r="R28" s="37" t="n">
        <v>0</v>
      </c>
      <c r="S28" s="37" t="n">
        <v>0</v>
      </c>
      <c r="T28" s="37" t="n">
        <v>0</v>
      </c>
      <c r="U28" s="37" t="n">
        <v>0</v>
      </c>
      <c r="V28" s="37" t="n">
        <v>0</v>
      </c>
      <c r="W28" s="37" t="n">
        <v>0</v>
      </c>
    </row>
    <row r="29">
      <c r="A29" s="27" t="inlineStr">
        <is>
          <t>D22</t>
        </is>
      </c>
      <c r="B29" s="13" t="inlineStr">
        <is>
          <t>Legal / title search report</t>
        </is>
      </c>
      <c r="C29" s="37" t="n">
        <v>0</v>
      </c>
      <c r="D29" s="37" t="n">
        <v>0</v>
      </c>
      <c r="E29" s="37" t="n">
        <v>0</v>
      </c>
      <c r="F29" s="37" t="n">
        <v>0</v>
      </c>
      <c r="G29" s="37" t="n">
        <v>0</v>
      </c>
      <c r="H29" s="36" t="n">
        <v>1.2</v>
      </c>
      <c r="I29" s="36" t="n">
        <v>1.2</v>
      </c>
      <c r="J29" s="36" t="n">
        <v>1.2</v>
      </c>
      <c r="K29" s="37" t="n">
        <v>0</v>
      </c>
      <c r="L29" s="37" t="n">
        <v>0</v>
      </c>
      <c r="M29" s="37" t="n">
        <v>0</v>
      </c>
      <c r="N29" s="37" t="n">
        <v>0</v>
      </c>
      <c r="O29" s="37" t="n">
        <v>0</v>
      </c>
      <c r="P29" s="36" t="n">
        <v>0.4</v>
      </c>
      <c r="Q29" s="37" t="n">
        <v>0</v>
      </c>
      <c r="R29" s="37" t="n">
        <v>0</v>
      </c>
      <c r="S29" s="37" t="n">
        <v>0</v>
      </c>
      <c r="T29" s="37" t="n">
        <v>0</v>
      </c>
      <c r="U29" s="37" t="n">
        <v>0</v>
      </c>
      <c r="V29" s="37" t="n">
        <v>0</v>
      </c>
      <c r="W29" s="37" t="n">
        <v>0</v>
      </c>
    </row>
    <row r="30">
      <c r="A30" s="27" t="inlineStr">
        <is>
          <t>D23</t>
        </is>
      </c>
      <c r="B30" s="13" t="inlineStr">
        <is>
          <t>Asset / vehicle inspection and valuation</t>
        </is>
      </c>
      <c r="C30" s="37" t="n">
        <v>0</v>
      </c>
      <c r="D30" s="37" t="n">
        <v>0</v>
      </c>
      <c r="E30" s="37" t="n">
        <v>0</v>
      </c>
      <c r="F30" s="37" t="n">
        <v>0</v>
      </c>
      <c r="G30" s="37" t="n">
        <v>0</v>
      </c>
      <c r="H30" s="37" t="n">
        <v>0</v>
      </c>
      <c r="I30" s="37" t="n">
        <v>0</v>
      </c>
      <c r="J30" s="37" t="n">
        <v>0</v>
      </c>
      <c r="K30" s="36" t="n">
        <v>1</v>
      </c>
      <c r="L30" s="36" t="n">
        <v>1</v>
      </c>
      <c r="M30" s="36" t="n">
        <v>1</v>
      </c>
      <c r="N30" s="36" t="n">
        <v>1</v>
      </c>
      <c r="O30" s="37" t="n">
        <v>0</v>
      </c>
      <c r="P30" s="37" t="n">
        <v>0</v>
      </c>
      <c r="Q30" s="37" t="n">
        <v>0</v>
      </c>
      <c r="R30" s="37" t="n">
        <v>0</v>
      </c>
      <c r="S30" s="37" t="n">
        <v>0</v>
      </c>
      <c r="T30" s="37" t="n">
        <v>0</v>
      </c>
      <c r="U30" s="37" t="n">
        <v>0</v>
      </c>
      <c r="V30" s="37" t="n">
        <v>0</v>
      </c>
      <c r="W30" s="37" t="n">
        <v>0</v>
      </c>
    </row>
    <row r="31">
      <c r="A31" s="27" t="inlineStr">
        <is>
          <t>D24</t>
        </is>
      </c>
      <c r="B31" s="13" t="inlineStr">
        <is>
          <t>Gold assay + dual-control custody handling</t>
        </is>
      </c>
      <c r="C31" s="37" t="n">
        <v>0</v>
      </c>
      <c r="D31" s="37" t="n">
        <v>0</v>
      </c>
      <c r="E31" s="37" t="n">
        <v>0</v>
      </c>
      <c r="F31" s="37" t="n">
        <v>0</v>
      </c>
      <c r="G31" s="37" t="n">
        <v>0</v>
      </c>
      <c r="H31" s="37" t="n">
        <v>0</v>
      </c>
      <c r="I31" s="37" t="n">
        <v>0</v>
      </c>
      <c r="J31" s="37" t="n">
        <v>0</v>
      </c>
      <c r="K31" s="37" t="n">
        <v>0</v>
      </c>
      <c r="L31" s="37" t="n">
        <v>0</v>
      </c>
      <c r="M31" s="37" t="n">
        <v>0</v>
      </c>
      <c r="N31" s="37" t="n">
        <v>0</v>
      </c>
      <c r="O31" s="36" t="n">
        <v>1</v>
      </c>
      <c r="P31" s="37" t="n">
        <v>0</v>
      </c>
      <c r="Q31" s="37" t="n">
        <v>0</v>
      </c>
      <c r="R31" s="37" t="n">
        <v>0</v>
      </c>
      <c r="S31" s="37" t="n">
        <v>0</v>
      </c>
      <c r="T31" s="37" t="n">
        <v>0</v>
      </c>
      <c r="U31" s="37" t="n">
        <v>0</v>
      </c>
      <c r="V31" s="37" t="n">
        <v>0</v>
      </c>
      <c r="W31" s="37" t="n">
        <v>0</v>
      </c>
    </row>
    <row r="32">
      <c r="A32" s="27" t="inlineStr">
        <is>
          <t>D25</t>
        </is>
      </c>
      <c r="B32" s="13" t="inlineStr">
        <is>
          <t>Decision engine evaluation (per-tenant Rust runtime)</t>
        </is>
      </c>
      <c r="C32" s="36" t="n">
        <v>3</v>
      </c>
      <c r="D32" s="36" t="n">
        <v>5</v>
      </c>
      <c r="E32" s="36" t="n">
        <v>6</v>
      </c>
      <c r="F32" s="36" t="n">
        <v>5</v>
      </c>
      <c r="G32" s="36" t="n">
        <v>4</v>
      </c>
      <c r="H32" s="36" t="n">
        <v>6</v>
      </c>
      <c r="I32" s="36" t="n">
        <v>6</v>
      </c>
      <c r="J32" s="36" t="n">
        <v>6</v>
      </c>
      <c r="K32" s="36" t="n">
        <v>5</v>
      </c>
      <c r="L32" s="36" t="n">
        <v>5</v>
      </c>
      <c r="M32" s="36" t="n">
        <v>4</v>
      </c>
      <c r="N32" s="36" t="n">
        <v>5</v>
      </c>
      <c r="O32" s="36" t="n">
        <v>2</v>
      </c>
      <c r="P32" s="36" t="n">
        <v>4</v>
      </c>
      <c r="Q32" s="36" t="n">
        <v>3</v>
      </c>
      <c r="R32" s="36" t="n">
        <v>2</v>
      </c>
      <c r="S32" s="36" t="n">
        <v>2</v>
      </c>
      <c r="T32" s="36" t="n">
        <v>6</v>
      </c>
      <c r="U32" s="36" t="n">
        <v>6</v>
      </c>
      <c r="V32" s="36" t="n">
        <v>5</v>
      </c>
      <c r="W32" s="36" t="n">
        <v>8</v>
      </c>
    </row>
    <row r="33">
      <c r="A33" s="27" t="inlineStr">
        <is>
          <t>D26</t>
        </is>
      </c>
      <c r="B33" s="13" t="inlineStr">
        <is>
          <t>Governed AI / agent tokens and actions</t>
        </is>
      </c>
      <c r="C33" s="36" t="n">
        <v>1</v>
      </c>
      <c r="D33" s="36" t="n">
        <v>1</v>
      </c>
      <c r="E33" s="36" t="n">
        <v>1</v>
      </c>
      <c r="F33" s="36" t="n">
        <v>1</v>
      </c>
      <c r="G33" s="36" t="n">
        <v>1</v>
      </c>
      <c r="H33" s="36" t="n">
        <v>1</v>
      </c>
      <c r="I33" s="36" t="n">
        <v>1</v>
      </c>
      <c r="J33" s="36" t="n">
        <v>1</v>
      </c>
      <c r="K33" s="36" t="n">
        <v>1</v>
      </c>
      <c r="L33" s="36" t="n">
        <v>1.5</v>
      </c>
      <c r="M33" s="36" t="n">
        <v>1</v>
      </c>
      <c r="N33" s="36" t="n">
        <v>1</v>
      </c>
      <c r="O33" s="36" t="n">
        <v>0.3</v>
      </c>
      <c r="P33" s="36" t="n">
        <v>1</v>
      </c>
      <c r="Q33" s="36" t="n">
        <v>0.5</v>
      </c>
      <c r="R33" s="36" t="n">
        <v>0.2</v>
      </c>
      <c r="S33" s="36" t="n">
        <v>0.5</v>
      </c>
      <c r="T33" s="36" t="n">
        <v>2</v>
      </c>
      <c r="U33" s="36" t="n">
        <v>2</v>
      </c>
      <c r="V33" s="36" t="n">
        <v>1.5</v>
      </c>
      <c r="W33" s="36" t="n">
        <v>3</v>
      </c>
    </row>
    <row r="34">
      <c r="A34" s="27" t="inlineStr">
        <is>
          <t>D27</t>
        </is>
      </c>
      <c r="B34" s="13" t="inlineStr">
        <is>
          <t>KFS + sanction letter generation and dispatch</t>
        </is>
      </c>
      <c r="C34" s="36" t="n">
        <v>1</v>
      </c>
      <c r="D34" s="36" t="n">
        <v>1</v>
      </c>
      <c r="E34" s="36" t="n">
        <v>1</v>
      </c>
      <c r="F34" s="36" t="n">
        <v>1</v>
      </c>
      <c r="G34" s="36" t="n">
        <v>1</v>
      </c>
      <c r="H34" s="36" t="n">
        <v>1</v>
      </c>
      <c r="I34" s="36" t="n">
        <v>1</v>
      </c>
      <c r="J34" s="36" t="n">
        <v>1</v>
      </c>
      <c r="K34" s="36" t="n">
        <v>1</v>
      </c>
      <c r="L34" s="36" t="n">
        <v>1</v>
      </c>
      <c r="M34" s="36" t="n">
        <v>1</v>
      </c>
      <c r="N34" s="36" t="n">
        <v>1</v>
      </c>
      <c r="O34" s="36" t="n">
        <v>1</v>
      </c>
      <c r="P34" s="36" t="n">
        <v>1</v>
      </c>
      <c r="Q34" s="36" t="n">
        <v>1</v>
      </c>
      <c r="R34" s="36" t="n">
        <v>1</v>
      </c>
      <c r="S34" s="36" t="n">
        <v>1</v>
      </c>
      <c r="T34" s="36" t="n">
        <v>1</v>
      </c>
      <c r="U34" s="36" t="n">
        <v>1</v>
      </c>
      <c r="V34" s="36" t="n">
        <v>1</v>
      </c>
      <c r="W34" s="36" t="n">
        <v>1</v>
      </c>
    </row>
    <row r="35">
      <c r="A35" s="27" t="inlineStr">
        <is>
          <t>D28</t>
        </is>
      </c>
      <c r="B35" s="13" t="inlineStr">
        <is>
          <t>eSign signature (Aadhaar eSign / DSC)</t>
        </is>
      </c>
      <c r="C35" s="36" t="n">
        <v>2</v>
      </c>
      <c r="D35" s="36" t="n">
        <v>2</v>
      </c>
      <c r="E35" s="36" t="n">
        <v>4</v>
      </c>
      <c r="F35" s="36" t="n">
        <v>4</v>
      </c>
      <c r="G35" s="36" t="n">
        <v>2</v>
      </c>
      <c r="H35" s="36" t="n">
        <v>4</v>
      </c>
      <c r="I35" s="36" t="n">
        <v>4</v>
      </c>
      <c r="J35" s="36" t="n">
        <v>4</v>
      </c>
      <c r="K35" s="36" t="n">
        <v>4</v>
      </c>
      <c r="L35" s="36" t="n">
        <v>4</v>
      </c>
      <c r="M35" s="36" t="n">
        <v>2</v>
      </c>
      <c r="N35" s="36" t="n">
        <v>3</v>
      </c>
      <c r="O35" s="36" t="n">
        <v>1</v>
      </c>
      <c r="P35" s="36" t="n">
        <v>4</v>
      </c>
      <c r="Q35" s="36" t="n">
        <v>2</v>
      </c>
      <c r="R35" s="36" t="n">
        <v>1</v>
      </c>
      <c r="S35" s="36" t="n">
        <v>1</v>
      </c>
      <c r="T35" s="36" t="n">
        <v>3</v>
      </c>
      <c r="U35" s="36" t="n">
        <v>3</v>
      </c>
      <c r="V35" s="36" t="n">
        <v>2</v>
      </c>
      <c r="W35" s="36" t="n">
        <v>4</v>
      </c>
    </row>
    <row r="36">
      <c r="A36" s="27" t="inlineStr">
        <is>
          <t>D29</t>
        </is>
      </c>
      <c r="B36" s="13" t="inlineStr">
        <is>
          <t>eStamp facilitation fee (duty itself excluded)</t>
        </is>
      </c>
      <c r="C36" s="36" t="n">
        <v>1</v>
      </c>
      <c r="D36" s="36" t="n">
        <v>1</v>
      </c>
      <c r="E36" s="36" t="n">
        <v>1</v>
      </c>
      <c r="F36" s="36" t="n">
        <v>1</v>
      </c>
      <c r="G36" s="36" t="n">
        <v>1</v>
      </c>
      <c r="H36" s="36" t="n">
        <v>1</v>
      </c>
      <c r="I36" s="36" t="n">
        <v>1</v>
      </c>
      <c r="J36" s="36" t="n">
        <v>1</v>
      </c>
      <c r="K36" s="36" t="n">
        <v>1</v>
      </c>
      <c r="L36" s="36" t="n">
        <v>1</v>
      </c>
      <c r="M36" s="36" t="n">
        <v>1</v>
      </c>
      <c r="N36" s="36" t="n">
        <v>1</v>
      </c>
      <c r="O36" s="36" t="n">
        <v>0.2</v>
      </c>
      <c r="P36" s="36" t="n">
        <v>1</v>
      </c>
      <c r="Q36" s="36" t="n">
        <v>1</v>
      </c>
      <c r="R36" s="36" t="n">
        <v>0.1</v>
      </c>
      <c r="S36" s="36" t="n">
        <v>0.1</v>
      </c>
      <c r="T36" s="36" t="n">
        <v>1</v>
      </c>
      <c r="U36" s="36" t="n">
        <v>1</v>
      </c>
      <c r="V36" s="36" t="n">
        <v>1</v>
      </c>
      <c r="W36" s="36" t="n">
        <v>1</v>
      </c>
    </row>
    <row r="37">
      <c r="A37" s="27" t="inlineStr">
        <is>
          <t>D30</t>
        </is>
      </c>
      <c r="B37" s="13" t="inlineStr">
        <is>
          <t>CERSAI security-interest registration</t>
        </is>
      </c>
      <c r="C37" s="37" t="n">
        <v>0</v>
      </c>
      <c r="D37" s="37" t="n">
        <v>0</v>
      </c>
      <c r="E37" s="36" t="n">
        <v>1</v>
      </c>
      <c r="F37" s="37" t="n">
        <v>0</v>
      </c>
      <c r="G37" s="37" t="n">
        <v>0</v>
      </c>
      <c r="H37" s="36" t="n">
        <v>1</v>
      </c>
      <c r="I37" s="36" t="n">
        <v>1</v>
      </c>
      <c r="J37" s="36" t="n">
        <v>1</v>
      </c>
      <c r="K37" s="36" t="n">
        <v>1</v>
      </c>
      <c r="L37" s="36" t="n">
        <v>1</v>
      </c>
      <c r="M37" s="36" t="n">
        <v>0.2</v>
      </c>
      <c r="N37" s="36" t="n">
        <v>1</v>
      </c>
      <c r="O37" s="37" t="n">
        <v>0</v>
      </c>
      <c r="P37" s="36" t="n">
        <v>0.4</v>
      </c>
      <c r="Q37" s="36" t="n">
        <v>0.5</v>
      </c>
      <c r="R37" s="37" t="n">
        <v>0</v>
      </c>
      <c r="S37" s="37" t="n">
        <v>0</v>
      </c>
      <c r="T37" s="37" t="n">
        <v>0</v>
      </c>
      <c r="U37" s="37" t="n">
        <v>0</v>
      </c>
      <c r="V37" s="37" t="n">
        <v>0</v>
      </c>
      <c r="W37" s="36" t="n">
        <v>0.5</v>
      </c>
    </row>
    <row r="38">
      <c r="A38" s="27" t="inlineStr">
        <is>
          <t>D31</t>
        </is>
      </c>
      <c r="B38" s="13" t="inlineStr">
        <is>
          <t>Insurance bind / policy issuance handling</t>
        </is>
      </c>
      <c r="C38" s="37" t="n">
        <v>0</v>
      </c>
      <c r="D38" s="37" t="n">
        <v>0</v>
      </c>
      <c r="E38" s="36" t="n">
        <v>0.5</v>
      </c>
      <c r="F38" s="37" t="n">
        <v>0</v>
      </c>
      <c r="G38" s="37" t="n">
        <v>0</v>
      </c>
      <c r="H38" s="36" t="n">
        <v>1</v>
      </c>
      <c r="I38" s="36" t="n">
        <v>1</v>
      </c>
      <c r="J38" s="36" t="n">
        <v>1</v>
      </c>
      <c r="K38" s="36" t="n">
        <v>1</v>
      </c>
      <c r="L38" s="36" t="n">
        <v>1</v>
      </c>
      <c r="M38" s="36" t="n">
        <v>1</v>
      </c>
      <c r="N38" s="36" t="n">
        <v>1</v>
      </c>
      <c r="O38" s="37" t="n">
        <v>0</v>
      </c>
      <c r="P38" s="37" t="n">
        <v>0</v>
      </c>
      <c r="Q38" s="36" t="n">
        <v>0.5</v>
      </c>
      <c r="R38" s="37" t="n">
        <v>0</v>
      </c>
      <c r="S38" s="37" t="n">
        <v>0</v>
      </c>
      <c r="T38" s="37" t="n">
        <v>0</v>
      </c>
      <c r="U38" s="37" t="n">
        <v>0</v>
      </c>
      <c r="V38" s="37" t="n">
        <v>0</v>
      </c>
      <c r="W38" s="36" t="n">
        <v>0.5</v>
      </c>
    </row>
    <row r="39">
      <c r="A39" s="27" t="inlineStr">
        <is>
          <t>D32</t>
        </is>
      </c>
      <c r="B39" s="13" t="inlineStr">
        <is>
          <t>Penny-drop / penny-less bank account verification</t>
        </is>
      </c>
      <c r="C39" s="36" t="n">
        <v>1</v>
      </c>
      <c r="D39" s="36" t="n">
        <v>1</v>
      </c>
      <c r="E39" s="36" t="n">
        <v>1</v>
      </c>
      <c r="F39" s="36" t="n">
        <v>1</v>
      </c>
      <c r="G39" s="36" t="n">
        <v>1</v>
      </c>
      <c r="H39" s="36" t="n">
        <v>1</v>
      </c>
      <c r="I39" s="36" t="n">
        <v>1</v>
      </c>
      <c r="J39" s="36" t="n">
        <v>1</v>
      </c>
      <c r="K39" s="36" t="n">
        <v>1</v>
      </c>
      <c r="L39" s="36" t="n">
        <v>1</v>
      </c>
      <c r="M39" s="36" t="n">
        <v>1</v>
      </c>
      <c r="N39" s="36" t="n">
        <v>1</v>
      </c>
      <c r="O39" s="36" t="n">
        <v>1</v>
      </c>
      <c r="P39" s="36" t="n">
        <v>1</v>
      </c>
      <c r="Q39" s="36" t="n">
        <v>1</v>
      </c>
      <c r="R39" s="36" t="n">
        <v>0.8</v>
      </c>
      <c r="S39" s="36" t="n">
        <v>0.5</v>
      </c>
      <c r="T39" s="36" t="n">
        <v>2</v>
      </c>
      <c r="U39" s="36" t="n">
        <v>2</v>
      </c>
      <c r="V39" s="36" t="n">
        <v>1</v>
      </c>
      <c r="W39" s="36" t="n">
        <v>2</v>
      </c>
    </row>
    <row r="40">
      <c r="A40" s="27" t="inlineStr">
        <is>
          <t>D33</t>
        </is>
      </c>
      <c r="B40" s="13" t="inlineStr">
        <is>
          <t>Disbursement payout (NEFT / RTGS / IMPS API)</t>
        </is>
      </c>
      <c r="C40" s="36" t="n">
        <v>1</v>
      </c>
      <c r="D40" s="36" t="n">
        <v>2</v>
      </c>
      <c r="E40" s="36" t="n">
        <v>1</v>
      </c>
      <c r="F40" s="36" t="n">
        <v>1</v>
      </c>
      <c r="G40" s="36" t="n">
        <v>1</v>
      </c>
      <c r="H40" s="36" t="n">
        <v>1.2</v>
      </c>
      <c r="I40" s="36" t="n">
        <v>1.2</v>
      </c>
      <c r="J40" s="36" t="n">
        <v>2.5</v>
      </c>
      <c r="K40" s="36" t="n">
        <v>1</v>
      </c>
      <c r="L40" s="36" t="n">
        <v>1</v>
      </c>
      <c r="M40" s="36" t="n">
        <v>1</v>
      </c>
      <c r="N40" s="36" t="n">
        <v>1</v>
      </c>
      <c r="O40" s="36" t="n">
        <v>1</v>
      </c>
      <c r="P40" s="36" t="n">
        <v>1.6</v>
      </c>
      <c r="Q40" s="36" t="n">
        <v>1</v>
      </c>
      <c r="R40" s="36" t="n">
        <v>1</v>
      </c>
      <c r="S40" s="36" t="n">
        <v>1</v>
      </c>
      <c r="T40" s="36" t="n">
        <v>1</v>
      </c>
      <c r="U40" s="36" t="n">
        <v>1</v>
      </c>
      <c r="V40" s="36" t="n">
        <v>1</v>
      </c>
      <c r="W40" s="36" t="n">
        <v>1.5</v>
      </c>
    </row>
    <row r="41">
      <c r="A41" s="27" t="inlineStr">
        <is>
          <t>D34</t>
        </is>
      </c>
      <c r="B41" s="13" t="inlineStr">
        <is>
          <t>Escrow / co-lending funding instruction</t>
        </is>
      </c>
      <c r="C41" s="37" t="n">
        <v>0</v>
      </c>
      <c r="D41" s="36" t="n">
        <v>2</v>
      </c>
      <c r="E41" s="37" t="n">
        <v>0</v>
      </c>
      <c r="F41" s="37" t="n">
        <v>0</v>
      </c>
      <c r="G41" s="37" t="n">
        <v>0</v>
      </c>
      <c r="H41" s="37" t="n">
        <v>0</v>
      </c>
      <c r="I41" s="37" t="n">
        <v>0</v>
      </c>
      <c r="J41" s="37" t="n">
        <v>0</v>
      </c>
      <c r="K41" s="37" t="n">
        <v>0</v>
      </c>
      <c r="L41" s="37" t="n">
        <v>0</v>
      </c>
      <c r="M41" s="37" t="n">
        <v>0</v>
      </c>
      <c r="N41" s="37" t="n">
        <v>0</v>
      </c>
      <c r="O41" s="37" t="n">
        <v>0</v>
      </c>
      <c r="P41" s="37" t="n">
        <v>0</v>
      </c>
      <c r="Q41" s="37" t="n">
        <v>0</v>
      </c>
      <c r="R41" s="37" t="n">
        <v>0</v>
      </c>
      <c r="S41" s="37" t="n">
        <v>0</v>
      </c>
      <c r="T41" s="37" t="n">
        <v>0</v>
      </c>
      <c r="U41" s="37" t="n">
        <v>0</v>
      </c>
      <c r="V41" s="37" t="n">
        <v>0</v>
      </c>
      <c r="W41" s="37" t="n">
        <v>0</v>
      </c>
    </row>
    <row r="42">
      <c r="A42" s="27" t="inlineStr">
        <is>
          <t>D35</t>
        </is>
      </c>
      <c r="B42" s="13" t="inlineStr">
        <is>
          <t>eNACH / eMandate registration (UMRN)</t>
        </is>
      </c>
      <c r="C42" s="36" t="n">
        <v>1</v>
      </c>
      <c r="D42" s="36" t="n">
        <v>1</v>
      </c>
      <c r="E42" s="36" t="n">
        <v>1</v>
      </c>
      <c r="F42" s="36" t="n">
        <v>1</v>
      </c>
      <c r="G42" s="36" t="n">
        <v>1</v>
      </c>
      <c r="H42" s="36" t="n">
        <v>1</v>
      </c>
      <c r="I42" s="36" t="n">
        <v>1</v>
      </c>
      <c r="J42" s="36" t="n">
        <v>1</v>
      </c>
      <c r="K42" s="36" t="n">
        <v>1</v>
      </c>
      <c r="L42" s="36" t="n">
        <v>1</v>
      </c>
      <c r="M42" s="36" t="n">
        <v>1</v>
      </c>
      <c r="N42" s="36" t="n">
        <v>1</v>
      </c>
      <c r="O42" s="36" t="n">
        <v>0.2</v>
      </c>
      <c r="P42" s="36" t="n">
        <v>1</v>
      </c>
      <c r="Q42" s="36" t="n">
        <v>0.5</v>
      </c>
      <c r="R42" s="36" t="n">
        <v>0.3</v>
      </c>
      <c r="S42" s="36" t="n">
        <v>1</v>
      </c>
      <c r="T42" s="36" t="n">
        <v>1</v>
      </c>
      <c r="U42" s="36" t="n">
        <v>1</v>
      </c>
      <c r="V42" s="36" t="n">
        <v>1</v>
      </c>
      <c r="W42" s="36" t="n">
        <v>1</v>
      </c>
    </row>
    <row r="43">
      <c r="A43" s="27" t="inlineStr">
        <is>
          <t>D36</t>
        </is>
      </c>
      <c r="B43" s="13" t="inlineStr">
        <is>
          <t>Offline field work-pack sync and replay</t>
        </is>
      </c>
      <c r="C43" s="37" t="n">
        <v>0</v>
      </c>
      <c r="D43" s="37" t="n">
        <v>0</v>
      </c>
      <c r="E43" s="37" t="n">
        <v>0</v>
      </c>
      <c r="F43" s="37" t="n">
        <v>0</v>
      </c>
      <c r="G43" s="37" t="n">
        <v>0</v>
      </c>
      <c r="H43" s="37" t="n">
        <v>0</v>
      </c>
      <c r="I43" s="37" t="n">
        <v>0</v>
      </c>
      <c r="J43" s="37" t="n">
        <v>0</v>
      </c>
      <c r="K43" s="37" t="n">
        <v>0</v>
      </c>
      <c r="L43" s="37" t="n">
        <v>0</v>
      </c>
      <c r="M43" s="37" t="n">
        <v>0</v>
      </c>
      <c r="N43" s="37" t="n">
        <v>0</v>
      </c>
      <c r="O43" s="37" t="n">
        <v>0</v>
      </c>
      <c r="P43" s="37" t="n">
        <v>0</v>
      </c>
      <c r="Q43" s="37" t="n">
        <v>0</v>
      </c>
      <c r="R43" s="37" t="n">
        <v>0</v>
      </c>
      <c r="S43" s="37" t="n">
        <v>0</v>
      </c>
      <c r="T43" s="37" t="n">
        <v>0</v>
      </c>
      <c r="U43" s="37" t="n">
        <v>0</v>
      </c>
      <c r="V43" s="37" t="n">
        <v>0</v>
      </c>
      <c r="W43" s="37" t="n">
        <v>0</v>
      </c>
    </row>
    <row r="44">
      <c r="A44" s="27" t="inlineStr">
        <is>
          <t>D37</t>
        </is>
      </c>
      <c r="B44" s="13" t="inlineStr">
        <is>
          <t>Asset registry verification (VAHAN/RC, depository lien)</t>
        </is>
      </c>
      <c r="C44" s="37" t="n">
        <v>0</v>
      </c>
      <c r="D44" s="37" t="n">
        <v>0</v>
      </c>
      <c r="E44" s="37" t="n">
        <v>0</v>
      </c>
      <c r="F44" s="37" t="n">
        <v>0</v>
      </c>
      <c r="G44" s="37" t="n">
        <v>0</v>
      </c>
      <c r="H44" s="37" t="n">
        <v>0</v>
      </c>
      <c r="I44" s="37" t="n">
        <v>0</v>
      </c>
      <c r="J44" s="37" t="n">
        <v>0</v>
      </c>
      <c r="K44" s="37" t="n">
        <v>0</v>
      </c>
      <c r="L44" s="37" t="n">
        <v>0</v>
      </c>
      <c r="M44" s="37" t="n">
        <v>0</v>
      </c>
      <c r="N44" s="37" t="n">
        <v>0</v>
      </c>
      <c r="O44" s="37" t="n">
        <v>0</v>
      </c>
      <c r="P44" s="37" t="n">
        <v>0</v>
      </c>
      <c r="Q44" s="37" t="n">
        <v>0</v>
      </c>
      <c r="R44" s="37" t="n">
        <v>0</v>
      </c>
      <c r="S44" s="37" t="n">
        <v>0</v>
      </c>
      <c r="T44" s="37" t="n">
        <v>0</v>
      </c>
      <c r="U44" s="37" t="n">
        <v>0</v>
      </c>
      <c r="V44" s="37" t="n">
        <v>0</v>
      </c>
      <c r="W44" s="37" t="n">
        <v>0</v>
      </c>
    </row>
    <row r="45">
      <c r="A45" s="27" t="inlineStr">
        <is>
          <t>D38</t>
        </is>
      </c>
      <c r="B45" s="13" t="inlineStr">
        <is>
          <t>Agent knowledge retrieval (vector query)</t>
        </is>
      </c>
      <c r="C45" s="37" t="n">
        <v>0</v>
      </c>
      <c r="D45" s="37" t="n">
        <v>0</v>
      </c>
      <c r="E45" s="37" t="n">
        <v>0</v>
      </c>
      <c r="F45" s="37" t="n">
        <v>0</v>
      </c>
      <c r="G45" s="37" t="n">
        <v>0</v>
      </c>
      <c r="H45" s="37" t="n">
        <v>0</v>
      </c>
      <c r="I45" s="37" t="n">
        <v>0</v>
      </c>
      <c r="J45" s="37" t="n">
        <v>0</v>
      </c>
      <c r="K45" s="37" t="n">
        <v>0</v>
      </c>
      <c r="L45" s="37" t="n">
        <v>0</v>
      </c>
      <c r="M45" s="37" t="n">
        <v>0</v>
      </c>
      <c r="N45" s="37" t="n">
        <v>0</v>
      </c>
      <c r="O45" s="37" t="n">
        <v>0</v>
      </c>
      <c r="P45" s="37" t="n">
        <v>0</v>
      </c>
      <c r="Q45" s="37" t="n">
        <v>0</v>
      </c>
      <c r="R45" s="37" t="n">
        <v>0</v>
      </c>
      <c r="S45" s="37" t="n">
        <v>0</v>
      </c>
      <c r="T45" s="37" t="n">
        <v>0</v>
      </c>
      <c r="U45" s="37" t="n">
        <v>0</v>
      </c>
      <c r="V45" s="37" t="n">
        <v>0</v>
      </c>
      <c r="W45" s="3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5 — Journey unit matrix: servicing, closure and collections</t>
        </is>
      </c>
    </row>
    <row r="2">
      <c r="A2" s="2" t="inlineStr">
        <is>
          <t>Servicing units are per basis-unit (loan-month, EMI, loan-year, closure). Collections rows are APPLICABILITY multipliers — repossession and auction simply do not exist for an unsecured personal loan.</t>
        </is>
      </c>
    </row>
    <row r="3" ht="128" customHeight="1">
      <c r="A3" s="32" t="inlineStr">
        <is>
          <t>Driver ID</t>
        </is>
      </c>
      <c r="B3" s="32" t="inlineStr">
        <is>
          <t>Cost driver</t>
        </is>
      </c>
      <c r="C3" s="33" t="inlineStr">
        <is>
          <t>personal_loan</t>
        </is>
      </c>
      <c r="D3" s="33" t="inlineStr">
        <is>
          <t>co_lending_programme</t>
        </is>
      </c>
      <c r="E3" s="33" t="inlineStr">
        <is>
          <t>msme_working_capital</t>
        </is>
      </c>
      <c r="F3" s="33" t="inlineStr">
        <is>
          <t>msme_term_loan</t>
        </is>
      </c>
      <c r="G3" s="33" t="inlineStr">
        <is>
          <t>professional_practice_loan</t>
        </is>
      </c>
      <c r="H3" s="33" t="inlineStr">
        <is>
          <t>secured_business_loan</t>
        </is>
      </c>
      <c r="I3" s="33" t="inlineStr">
        <is>
          <t>loan_against_property</t>
        </is>
      </c>
      <c r="J3" s="33" t="inlineStr">
        <is>
          <t>home_loan</t>
        </is>
      </c>
      <c r="K3" s="33" t="inlineStr">
        <is>
          <t>equipment_machinery_finance</t>
        </is>
      </c>
      <c r="L3" s="33" t="inlineStr">
        <is>
          <t>green_equipment_finance</t>
        </is>
      </c>
      <c r="M3" s="33" t="inlineStr">
        <is>
          <t>personal_vehicle_loan</t>
        </is>
      </c>
      <c r="N3" s="33" t="inlineStr">
        <is>
          <t>commercial_vehicle_finance</t>
        </is>
      </c>
      <c r="O3" s="33" t="inlineStr">
        <is>
          <t>gold_loan</t>
        </is>
      </c>
      <c r="P3" s="33" t="inlineStr">
        <is>
          <t>education_loan</t>
        </is>
      </c>
      <c r="Q3" s="33" t="inlineStr">
        <is>
          <t>agriculture_allied_finance</t>
        </is>
      </c>
      <c r="R3" s="33" t="inlineStr">
        <is>
          <t>microfinance_group_lending</t>
        </is>
      </c>
      <c r="S3" s="33" t="inlineStr">
        <is>
          <t>consumer_durable_finance</t>
        </is>
      </c>
      <c r="T3" s="33" t="inlineStr">
        <is>
          <t>invoice_discounting</t>
        </is>
      </c>
      <c r="U3" s="33" t="inlineStr">
        <is>
          <t>purchase_order_finance</t>
        </is>
      </c>
      <c r="V3" s="33" t="inlineStr">
        <is>
          <t>supply_chain_finance</t>
        </is>
      </c>
      <c r="W3" s="33" t="inlineStr">
        <is>
          <t>trade_finance_workflow</t>
        </is>
      </c>
    </row>
    <row r="5">
      <c r="B5" s="35" t="inlineStr">
        <is>
          <t>Servicing units per basis-unit  ▼</t>
        </is>
      </c>
    </row>
    <row r="6">
      <c r="A6" s="27" t="inlineStr">
        <is>
          <t>S01</t>
        </is>
      </c>
      <c r="B6" s="13" t="inlineStr">
        <is>
          <t>CBS / GL posting and acknowledgement</t>
        </is>
      </c>
      <c r="C6" s="36" t="n">
        <v>1</v>
      </c>
      <c r="D6" s="36" t="n">
        <v>1</v>
      </c>
      <c r="E6" s="36" t="n">
        <v>1</v>
      </c>
      <c r="F6" s="36" t="n">
        <v>1</v>
      </c>
      <c r="G6" s="36" t="n">
        <v>1</v>
      </c>
      <c r="H6" s="36" t="n">
        <v>1</v>
      </c>
      <c r="I6" s="36" t="n">
        <v>1</v>
      </c>
      <c r="J6" s="36" t="n">
        <v>1</v>
      </c>
      <c r="K6" s="36" t="n">
        <v>1</v>
      </c>
      <c r="L6" s="36" t="n">
        <v>1</v>
      </c>
      <c r="M6" s="36" t="n">
        <v>1</v>
      </c>
      <c r="N6" s="36" t="n">
        <v>1</v>
      </c>
      <c r="O6" s="36" t="n">
        <v>1</v>
      </c>
      <c r="P6" s="36" t="n">
        <v>1</v>
      </c>
      <c r="Q6" s="36" t="n">
        <v>1</v>
      </c>
      <c r="R6" s="36" t="n">
        <v>1</v>
      </c>
      <c r="S6" s="36" t="n">
        <v>1</v>
      </c>
      <c r="T6" s="36" t="n">
        <v>1</v>
      </c>
      <c r="U6" s="36" t="n">
        <v>1</v>
      </c>
      <c r="V6" s="36" t="n">
        <v>1</v>
      </c>
      <c r="W6" s="36" t="n">
        <v>1</v>
      </c>
    </row>
    <row r="7">
      <c r="A7" s="27" t="inlineStr">
        <is>
          <t>S02</t>
        </is>
      </c>
      <c r="B7" s="13" t="inlineStr">
        <is>
          <t>NACH / eNACH presentment</t>
        </is>
      </c>
      <c r="C7" s="36" t="n">
        <v>1</v>
      </c>
      <c r="D7" s="36" t="n">
        <v>1</v>
      </c>
      <c r="E7" s="36" t="n">
        <v>1</v>
      </c>
      <c r="F7" s="36" t="n">
        <v>1</v>
      </c>
      <c r="G7" s="36" t="n">
        <v>1</v>
      </c>
      <c r="H7" s="36" t="n">
        <v>1</v>
      </c>
      <c r="I7" s="36" t="n">
        <v>1</v>
      </c>
      <c r="J7" s="36" t="n">
        <v>1</v>
      </c>
      <c r="K7" s="36" t="n">
        <v>1</v>
      </c>
      <c r="L7" s="36" t="n">
        <v>1</v>
      </c>
      <c r="M7" s="36" t="n">
        <v>1</v>
      </c>
      <c r="N7" s="36" t="n">
        <v>1</v>
      </c>
      <c r="O7" s="36" t="n">
        <v>1</v>
      </c>
      <c r="P7" s="36" t="n">
        <v>1</v>
      </c>
      <c r="Q7" s="36" t="n">
        <v>1</v>
      </c>
      <c r="R7" s="36" t="n">
        <v>1</v>
      </c>
      <c r="S7" s="36" t="n">
        <v>1</v>
      </c>
      <c r="T7" s="36" t="n">
        <v>1</v>
      </c>
      <c r="U7" s="36" t="n">
        <v>1</v>
      </c>
      <c r="V7" s="36" t="n">
        <v>1</v>
      </c>
      <c r="W7" s="36" t="n">
        <v>1</v>
      </c>
    </row>
    <row r="8">
      <c r="A8" s="27" t="inlineStr">
        <is>
          <t>S03</t>
        </is>
      </c>
      <c r="B8" s="13" t="inlineStr">
        <is>
          <t>Bounce / return handling</t>
        </is>
      </c>
      <c r="C8" s="36" t="n">
        <v>1</v>
      </c>
      <c r="D8" s="36" t="n">
        <v>1</v>
      </c>
      <c r="E8" s="36" t="n">
        <v>1</v>
      </c>
      <c r="F8" s="36" t="n">
        <v>1</v>
      </c>
      <c r="G8" s="36" t="n">
        <v>1</v>
      </c>
      <c r="H8" s="36" t="n">
        <v>1</v>
      </c>
      <c r="I8" s="36" t="n">
        <v>1</v>
      </c>
      <c r="J8" s="36" t="n">
        <v>1</v>
      </c>
      <c r="K8" s="36" t="n">
        <v>1</v>
      </c>
      <c r="L8" s="36" t="n">
        <v>1</v>
      </c>
      <c r="M8" s="36" t="n">
        <v>1</v>
      </c>
      <c r="N8" s="36" t="n">
        <v>1</v>
      </c>
      <c r="O8" s="36" t="n">
        <v>1</v>
      </c>
      <c r="P8" s="36" t="n">
        <v>1</v>
      </c>
      <c r="Q8" s="36" t="n">
        <v>1</v>
      </c>
      <c r="R8" s="36" t="n">
        <v>1</v>
      </c>
      <c r="S8" s="36" t="n">
        <v>1</v>
      </c>
      <c r="T8" s="36" t="n">
        <v>1</v>
      </c>
      <c r="U8" s="36" t="n">
        <v>1</v>
      </c>
      <c r="V8" s="36" t="n">
        <v>1</v>
      </c>
      <c r="W8" s="36" t="n">
        <v>1</v>
      </c>
    </row>
    <row r="9">
      <c r="A9" s="27" t="inlineStr">
        <is>
          <t>S04</t>
        </is>
      </c>
      <c r="B9" s="13" t="inlineStr">
        <is>
          <t>Receipt matching and reconciliation (UTR)</t>
        </is>
      </c>
      <c r="C9" s="36" t="n">
        <v>1</v>
      </c>
      <c r="D9" s="36" t="n">
        <v>1</v>
      </c>
      <c r="E9" s="36" t="n">
        <v>1</v>
      </c>
      <c r="F9" s="36" t="n">
        <v>1</v>
      </c>
      <c r="G9" s="36" t="n">
        <v>1</v>
      </c>
      <c r="H9" s="36" t="n">
        <v>1</v>
      </c>
      <c r="I9" s="36" t="n">
        <v>1</v>
      </c>
      <c r="J9" s="36" t="n">
        <v>1</v>
      </c>
      <c r="K9" s="36" t="n">
        <v>1</v>
      </c>
      <c r="L9" s="36" t="n">
        <v>1</v>
      </c>
      <c r="M9" s="36" t="n">
        <v>1</v>
      </c>
      <c r="N9" s="36" t="n">
        <v>1</v>
      </c>
      <c r="O9" s="36" t="n">
        <v>1</v>
      </c>
      <c r="P9" s="36" t="n">
        <v>1</v>
      </c>
      <c r="Q9" s="36" t="n">
        <v>1</v>
      </c>
      <c r="R9" s="36" t="n">
        <v>1</v>
      </c>
      <c r="S9" s="36" t="n">
        <v>1</v>
      </c>
      <c r="T9" s="36" t="n">
        <v>1</v>
      </c>
      <c r="U9" s="36" t="n">
        <v>1</v>
      </c>
      <c r="V9" s="36" t="n">
        <v>1</v>
      </c>
      <c r="W9" s="36" t="n">
        <v>1</v>
      </c>
    </row>
    <row r="10">
      <c r="A10" s="27" t="inlineStr">
        <is>
          <t>S05</t>
        </is>
      </c>
      <c r="B10" s="13" t="inlineStr">
        <is>
          <t>Servicing notices (EMI, rate, penal, statement)</t>
        </is>
      </c>
      <c r="C10" s="36" t="n">
        <v>1</v>
      </c>
      <c r="D10" s="36" t="n">
        <v>1</v>
      </c>
      <c r="E10" s="36" t="n">
        <v>1</v>
      </c>
      <c r="F10" s="36" t="n">
        <v>1</v>
      </c>
      <c r="G10" s="36" t="n">
        <v>1</v>
      </c>
      <c r="H10" s="36" t="n">
        <v>1</v>
      </c>
      <c r="I10" s="36" t="n">
        <v>1</v>
      </c>
      <c r="J10" s="36" t="n">
        <v>1</v>
      </c>
      <c r="K10" s="36" t="n">
        <v>1</v>
      </c>
      <c r="L10" s="36" t="n">
        <v>1</v>
      </c>
      <c r="M10" s="36" t="n">
        <v>1</v>
      </c>
      <c r="N10" s="36" t="n">
        <v>1</v>
      </c>
      <c r="O10" s="36" t="n">
        <v>1</v>
      </c>
      <c r="P10" s="36" t="n">
        <v>1</v>
      </c>
      <c r="Q10" s="36" t="n">
        <v>1</v>
      </c>
      <c r="R10" s="36" t="n">
        <v>1</v>
      </c>
      <c r="S10" s="36" t="n">
        <v>1</v>
      </c>
      <c r="T10" s="36" t="n">
        <v>1</v>
      </c>
      <c r="U10" s="36" t="n">
        <v>1</v>
      </c>
      <c r="V10" s="36" t="n">
        <v>1</v>
      </c>
      <c r="W10" s="36" t="n">
        <v>1</v>
      </c>
    </row>
    <row r="11">
      <c r="A11" s="27" t="inlineStr">
        <is>
          <t>S06</t>
        </is>
      </c>
      <c r="B11" s="13" t="inlineStr">
        <is>
          <t>Statement render, vault store and retention</t>
        </is>
      </c>
      <c r="C11" s="36" t="n">
        <v>1</v>
      </c>
      <c r="D11" s="36" t="n">
        <v>1</v>
      </c>
      <c r="E11" s="36" t="n">
        <v>1</v>
      </c>
      <c r="F11" s="36" t="n">
        <v>1</v>
      </c>
      <c r="G11" s="36" t="n">
        <v>1</v>
      </c>
      <c r="H11" s="36" t="n">
        <v>1</v>
      </c>
      <c r="I11" s="36" t="n">
        <v>1</v>
      </c>
      <c r="J11" s="36" t="n">
        <v>1</v>
      </c>
      <c r="K11" s="36" t="n">
        <v>1</v>
      </c>
      <c r="L11" s="36" t="n">
        <v>1</v>
      </c>
      <c r="M11" s="36" t="n">
        <v>1</v>
      </c>
      <c r="N11" s="36" t="n">
        <v>1</v>
      </c>
      <c r="O11" s="36" t="n">
        <v>1</v>
      </c>
      <c r="P11" s="36" t="n">
        <v>1</v>
      </c>
      <c r="Q11" s="36" t="n">
        <v>1</v>
      </c>
      <c r="R11" s="36" t="n">
        <v>0.3</v>
      </c>
      <c r="S11" s="36" t="n">
        <v>1</v>
      </c>
      <c r="T11" s="36" t="n">
        <v>1</v>
      </c>
      <c r="U11" s="36" t="n">
        <v>1</v>
      </c>
      <c r="V11" s="36" t="n">
        <v>1</v>
      </c>
      <c r="W11" s="36" t="n">
        <v>1</v>
      </c>
    </row>
    <row r="12">
      <c r="A12" s="27" t="inlineStr">
        <is>
          <t>S07</t>
        </is>
      </c>
      <c r="B12" s="13" t="inlineStr">
        <is>
          <t>CIC credit furnishing (monthly submission)</t>
        </is>
      </c>
      <c r="C12" s="36" t="n">
        <v>1</v>
      </c>
      <c r="D12" s="36" t="n">
        <v>1</v>
      </c>
      <c r="E12" s="36" t="n">
        <v>1</v>
      </c>
      <c r="F12" s="36" t="n">
        <v>1</v>
      </c>
      <c r="G12" s="36" t="n">
        <v>1</v>
      </c>
      <c r="H12" s="36" t="n">
        <v>1</v>
      </c>
      <c r="I12" s="36" t="n">
        <v>1</v>
      </c>
      <c r="J12" s="36" t="n">
        <v>1</v>
      </c>
      <c r="K12" s="36" t="n">
        <v>1</v>
      </c>
      <c r="L12" s="36" t="n">
        <v>1</v>
      </c>
      <c r="M12" s="36" t="n">
        <v>1</v>
      </c>
      <c r="N12" s="36" t="n">
        <v>1</v>
      </c>
      <c r="O12" s="36" t="n">
        <v>1</v>
      </c>
      <c r="P12" s="36" t="n">
        <v>1</v>
      </c>
      <c r="Q12" s="36" t="n">
        <v>1</v>
      </c>
      <c r="R12" s="36" t="n">
        <v>1</v>
      </c>
      <c r="S12" s="36" t="n">
        <v>1</v>
      </c>
      <c r="T12" s="36" t="n">
        <v>1</v>
      </c>
      <c r="U12" s="36" t="n">
        <v>1</v>
      </c>
      <c r="V12" s="36" t="n">
        <v>1</v>
      </c>
      <c r="W12" s="36" t="n">
        <v>1</v>
      </c>
    </row>
    <row r="13">
      <c r="A13" s="27" t="inlineStr">
        <is>
          <t>S08</t>
        </is>
      </c>
      <c r="B13" s="13" t="inlineStr">
        <is>
          <t>Ongoing KYC refresh / AA re-consent</t>
        </is>
      </c>
      <c r="C13" s="36" t="n">
        <v>1</v>
      </c>
      <c r="D13" s="36" t="n">
        <v>1</v>
      </c>
      <c r="E13" s="36" t="n">
        <v>1</v>
      </c>
      <c r="F13" s="36" t="n">
        <v>1</v>
      </c>
      <c r="G13" s="36" t="n">
        <v>1</v>
      </c>
      <c r="H13" s="36" t="n">
        <v>1</v>
      </c>
      <c r="I13" s="36" t="n">
        <v>1</v>
      </c>
      <c r="J13" s="36" t="n">
        <v>1</v>
      </c>
      <c r="K13" s="36" t="n">
        <v>1</v>
      </c>
      <c r="L13" s="36" t="n">
        <v>1</v>
      </c>
      <c r="M13" s="36" t="n">
        <v>1</v>
      </c>
      <c r="N13" s="36" t="n">
        <v>1</v>
      </c>
      <c r="O13" s="36" t="n">
        <v>1</v>
      </c>
      <c r="P13" s="36" t="n">
        <v>1</v>
      </c>
      <c r="Q13" s="36" t="n">
        <v>1</v>
      </c>
      <c r="R13" s="36" t="n">
        <v>1</v>
      </c>
      <c r="S13" s="36" t="n">
        <v>0.3</v>
      </c>
      <c r="T13" s="36" t="n">
        <v>1</v>
      </c>
      <c r="U13" s="36" t="n">
        <v>1</v>
      </c>
      <c r="V13" s="36" t="n">
        <v>1</v>
      </c>
      <c r="W13" s="36" t="n">
        <v>1</v>
      </c>
    </row>
    <row r="14">
      <c r="A14" s="27" t="inlineStr">
        <is>
          <t>S09</t>
        </is>
      </c>
      <c r="B14" s="13" t="inlineStr">
        <is>
          <t>Portfolio bureau review</t>
        </is>
      </c>
      <c r="C14" s="36" t="n">
        <v>1</v>
      </c>
      <c r="D14" s="36" t="n">
        <v>1</v>
      </c>
      <c r="E14" s="36" t="n">
        <v>1</v>
      </c>
      <c r="F14" s="36" t="n">
        <v>1</v>
      </c>
      <c r="G14" s="36" t="n">
        <v>1</v>
      </c>
      <c r="H14" s="36" t="n">
        <v>1</v>
      </c>
      <c r="I14" s="36" t="n">
        <v>1</v>
      </c>
      <c r="J14" s="36" t="n">
        <v>1</v>
      </c>
      <c r="K14" s="36" t="n">
        <v>1</v>
      </c>
      <c r="L14" s="36" t="n">
        <v>1</v>
      </c>
      <c r="M14" s="36" t="n">
        <v>1</v>
      </c>
      <c r="N14" s="36" t="n">
        <v>1</v>
      </c>
      <c r="O14" s="36" t="n">
        <v>0.3</v>
      </c>
      <c r="P14" s="36" t="n">
        <v>1</v>
      </c>
      <c r="Q14" s="36" t="n">
        <v>1</v>
      </c>
      <c r="R14" s="36" t="n">
        <v>1</v>
      </c>
      <c r="S14" s="36" t="n">
        <v>1</v>
      </c>
      <c r="T14" s="36" t="n">
        <v>1</v>
      </c>
      <c r="U14" s="36" t="n">
        <v>1</v>
      </c>
      <c r="V14" s="36" t="n">
        <v>1</v>
      </c>
      <c r="W14" s="36" t="n">
        <v>1</v>
      </c>
    </row>
    <row r="15">
      <c r="A15" s="27" t="inlineStr">
        <is>
          <t>S10</t>
        </is>
      </c>
      <c r="B15" s="13" t="inlineStr">
        <is>
          <t>Ongoing AML rescreen</t>
        </is>
      </c>
      <c r="C15" s="36" t="n">
        <v>1</v>
      </c>
      <c r="D15" s="36" t="n">
        <v>1</v>
      </c>
      <c r="E15" s="36" t="n">
        <v>1</v>
      </c>
      <c r="F15" s="36" t="n">
        <v>1</v>
      </c>
      <c r="G15" s="36" t="n">
        <v>1</v>
      </c>
      <c r="H15" s="36" t="n">
        <v>1</v>
      </c>
      <c r="I15" s="36" t="n">
        <v>1</v>
      </c>
      <c r="J15" s="36" t="n">
        <v>1</v>
      </c>
      <c r="K15" s="36" t="n">
        <v>1</v>
      </c>
      <c r="L15" s="36" t="n">
        <v>1</v>
      </c>
      <c r="M15" s="36" t="n">
        <v>1</v>
      </c>
      <c r="N15" s="36" t="n">
        <v>1</v>
      </c>
      <c r="O15" s="36" t="n">
        <v>1</v>
      </c>
      <c r="P15" s="36" t="n">
        <v>1</v>
      </c>
      <c r="Q15" s="36" t="n">
        <v>1</v>
      </c>
      <c r="R15" s="36" t="n">
        <v>1</v>
      </c>
      <c r="S15" s="36" t="n">
        <v>1</v>
      </c>
      <c r="T15" s="36" t="n">
        <v>1</v>
      </c>
      <c r="U15" s="36" t="n">
        <v>1</v>
      </c>
      <c r="V15" s="36" t="n">
        <v>1</v>
      </c>
      <c r="W15" s="36" t="n">
        <v>1</v>
      </c>
    </row>
    <row r="16">
      <c r="A16" s="27" t="inlineStr">
        <is>
          <t>S11</t>
        </is>
      </c>
      <c r="B16" s="13" t="inlineStr">
        <is>
          <t>Insurance renewal / collateral revaluation</t>
        </is>
      </c>
      <c r="C16" s="37" t="n">
        <v>0</v>
      </c>
      <c r="D16" s="37" t="n">
        <v>0</v>
      </c>
      <c r="E16" s="36" t="n">
        <v>0.5</v>
      </c>
      <c r="F16" s="36" t="n">
        <v>0.4</v>
      </c>
      <c r="G16" s="37" t="n">
        <v>0</v>
      </c>
      <c r="H16" s="36" t="n">
        <v>1</v>
      </c>
      <c r="I16" s="36" t="n">
        <v>1</v>
      </c>
      <c r="J16" s="36" t="n">
        <v>1</v>
      </c>
      <c r="K16" s="36" t="n">
        <v>1</v>
      </c>
      <c r="L16" s="36" t="n">
        <v>1</v>
      </c>
      <c r="M16" s="36" t="n">
        <v>1</v>
      </c>
      <c r="N16" s="36" t="n">
        <v>1</v>
      </c>
      <c r="O16" s="37" t="n">
        <v>0</v>
      </c>
      <c r="P16" s="36" t="n">
        <v>0.4</v>
      </c>
      <c r="Q16" s="36" t="n">
        <v>0.5</v>
      </c>
      <c r="R16" s="37" t="n">
        <v>0</v>
      </c>
      <c r="S16" s="37" t="n">
        <v>0</v>
      </c>
      <c r="T16" s="37" t="n">
        <v>0</v>
      </c>
      <c r="U16" s="37" t="n">
        <v>0</v>
      </c>
      <c r="V16" s="37" t="n">
        <v>0</v>
      </c>
      <c r="W16" s="36" t="n">
        <v>0.3</v>
      </c>
    </row>
    <row r="17">
      <c r="A17" s="27" t="inlineStr">
        <is>
          <t>S12</t>
        </is>
      </c>
      <c r="B17" s="13" t="inlineStr">
        <is>
          <t>Refund / excess / failed-disbursement reversal</t>
        </is>
      </c>
      <c r="C17" s="36" t="n">
        <v>1</v>
      </c>
      <c r="D17" s="36" t="n">
        <v>1</v>
      </c>
      <c r="E17" s="36" t="n">
        <v>1</v>
      </c>
      <c r="F17" s="36" t="n">
        <v>1</v>
      </c>
      <c r="G17" s="36" t="n">
        <v>1</v>
      </c>
      <c r="H17" s="36" t="n">
        <v>1</v>
      </c>
      <c r="I17" s="36" t="n">
        <v>1</v>
      </c>
      <c r="J17" s="36" t="n">
        <v>1</v>
      </c>
      <c r="K17" s="36" t="n">
        <v>1</v>
      </c>
      <c r="L17" s="36" t="n">
        <v>1</v>
      </c>
      <c r="M17" s="36" t="n">
        <v>1</v>
      </c>
      <c r="N17" s="36" t="n">
        <v>1</v>
      </c>
      <c r="O17" s="36" t="n">
        <v>1</v>
      </c>
      <c r="P17" s="36" t="n">
        <v>1</v>
      </c>
      <c r="Q17" s="36" t="n">
        <v>1</v>
      </c>
      <c r="R17" s="36" t="n">
        <v>1</v>
      </c>
      <c r="S17" s="36" t="n">
        <v>1</v>
      </c>
      <c r="T17" s="36" t="n">
        <v>1</v>
      </c>
      <c r="U17" s="36" t="n">
        <v>1</v>
      </c>
      <c r="V17" s="36" t="n">
        <v>1</v>
      </c>
      <c r="W17" s="36" t="n">
        <v>1</v>
      </c>
    </row>
    <row r="18">
      <c r="A18" s="27" t="inlineStr">
        <is>
          <t>S13</t>
        </is>
      </c>
      <c r="B18" s="13" t="inlineStr">
        <is>
          <t>Restructure / transfer instruction</t>
        </is>
      </c>
      <c r="C18" s="36" t="n">
        <v>1</v>
      </c>
      <c r="D18" s="36" t="n">
        <v>1.5</v>
      </c>
      <c r="E18" s="36" t="n">
        <v>1.5</v>
      </c>
      <c r="F18" s="36" t="n">
        <v>1</v>
      </c>
      <c r="G18" s="36" t="n">
        <v>1</v>
      </c>
      <c r="H18" s="36" t="n">
        <v>1</v>
      </c>
      <c r="I18" s="36" t="n">
        <v>1</v>
      </c>
      <c r="J18" s="36" t="n">
        <v>1</v>
      </c>
      <c r="K18" s="36" t="n">
        <v>1</v>
      </c>
      <c r="L18" s="36" t="n">
        <v>1</v>
      </c>
      <c r="M18" s="36" t="n">
        <v>1</v>
      </c>
      <c r="N18" s="36" t="n">
        <v>1</v>
      </c>
      <c r="O18" s="36" t="n">
        <v>0.2</v>
      </c>
      <c r="P18" s="36" t="n">
        <v>1</v>
      </c>
      <c r="Q18" s="36" t="n">
        <v>1</v>
      </c>
      <c r="R18" s="36" t="n">
        <v>1</v>
      </c>
      <c r="S18" s="36" t="n">
        <v>1</v>
      </c>
      <c r="T18" s="36" t="n">
        <v>1</v>
      </c>
      <c r="U18" s="36" t="n">
        <v>1</v>
      </c>
      <c r="V18" s="36" t="n">
        <v>1</v>
      </c>
      <c r="W18" s="36" t="n">
        <v>1</v>
      </c>
    </row>
    <row r="19">
      <c r="A19" s="27" t="inlineStr">
        <is>
          <t>S14</t>
        </is>
      </c>
      <c r="B19" s="13" t="inlineStr">
        <is>
          <t>Closure: mandate cancel, NOC generation and delivery</t>
        </is>
      </c>
      <c r="C19" s="36" t="n">
        <v>1</v>
      </c>
      <c r="D19" s="36" t="n">
        <v>1</v>
      </c>
      <c r="E19" s="36" t="n">
        <v>1</v>
      </c>
      <c r="F19" s="36" t="n">
        <v>1</v>
      </c>
      <c r="G19" s="36" t="n">
        <v>1</v>
      </c>
      <c r="H19" s="36" t="n">
        <v>1</v>
      </c>
      <c r="I19" s="36" t="n">
        <v>1</v>
      </c>
      <c r="J19" s="36" t="n">
        <v>1</v>
      </c>
      <c r="K19" s="36" t="n">
        <v>1</v>
      </c>
      <c r="L19" s="36" t="n">
        <v>1</v>
      </c>
      <c r="M19" s="36" t="n">
        <v>1</v>
      </c>
      <c r="N19" s="36" t="n">
        <v>1</v>
      </c>
      <c r="O19" s="36" t="n">
        <v>1</v>
      </c>
      <c r="P19" s="36" t="n">
        <v>1</v>
      </c>
      <c r="Q19" s="36" t="n">
        <v>1</v>
      </c>
      <c r="R19" s="36" t="n">
        <v>1</v>
      </c>
      <c r="S19" s="36" t="n">
        <v>1</v>
      </c>
      <c r="T19" s="36" t="n">
        <v>1</v>
      </c>
      <c r="U19" s="36" t="n">
        <v>1</v>
      </c>
      <c r="V19" s="36" t="n">
        <v>1</v>
      </c>
      <c r="W19" s="36" t="n">
        <v>1</v>
      </c>
    </row>
    <row r="20">
      <c r="A20" s="27" t="inlineStr">
        <is>
          <t>S15</t>
        </is>
      </c>
      <c r="B20" s="13" t="inlineStr">
        <is>
          <t>Security registry satisfaction (CERSAI / ROC / RTO)</t>
        </is>
      </c>
      <c r="C20" s="37" t="n">
        <v>0</v>
      </c>
      <c r="D20" s="37" t="n">
        <v>0</v>
      </c>
      <c r="E20" s="37" t="n">
        <v>0</v>
      </c>
      <c r="F20" s="37" t="n">
        <v>0</v>
      </c>
      <c r="G20" s="37" t="n">
        <v>0</v>
      </c>
      <c r="H20" s="36" t="n">
        <v>1</v>
      </c>
      <c r="I20" s="36" t="n">
        <v>1</v>
      </c>
      <c r="J20" s="36" t="n">
        <v>1</v>
      </c>
      <c r="K20" s="36" t="n">
        <v>1</v>
      </c>
      <c r="L20" s="36" t="n">
        <v>1</v>
      </c>
      <c r="M20" s="36" t="n">
        <v>0.3</v>
      </c>
      <c r="N20" s="36" t="n">
        <v>1</v>
      </c>
      <c r="O20" s="37" t="n">
        <v>0</v>
      </c>
      <c r="P20" s="36" t="n">
        <v>0.4</v>
      </c>
      <c r="Q20" s="36" t="n">
        <v>0.5</v>
      </c>
      <c r="R20" s="37" t="n">
        <v>0</v>
      </c>
      <c r="S20" s="37" t="n">
        <v>0</v>
      </c>
      <c r="T20" s="37" t="n">
        <v>0</v>
      </c>
      <c r="U20" s="37" t="n">
        <v>0</v>
      </c>
      <c r="V20" s="37" t="n">
        <v>0</v>
      </c>
      <c r="W20" s="37" t="n">
        <v>0</v>
      </c>
    </row>
    <row r="21">
      <c r="A21" s="27" t="inlineStr">
        <is>
          <t>S16</t>
        </is>
      </c>
      <c r="B21" s="13" t="inlineStr">
        <is>
          <t>Custody return and release acknowledgement</t>
        </is>
      </c>
      <c r="C21" s="37" t="n">
        <v>0</v>
      </c>
      <c r="D21" s="37" t="n">
        <v>0</v>
      </c>
      <c r="E21" s="37" t="n">
        <v>0</v>
      </c>
      <c r="F21" s="37" t="n">
        <v>0</v>
      </c>
      <c r="G21" s="37" t="n">
        <v>0</v>
      </c>
      <c r="H21" s="37" t="n">
        <v>0</v>
      </c>
      <c r="I21" s="37" t="n">
        <v>0</v>
      </c>
      <c r="J21" s="37" t="n">
        <v>0</v>
      </c>
      <c r="K21" s="37" t="n">
        <v>0</v>
      </c>
      <c r="L21" s="37" t="n">
        <v>0</v>
      </c>
      <c r="M21" s="37" t="n">
        <v>0</v>
      </c>
      <c r="N21" s="37" t="n">
        <v>0</v>
      </c>
      <c r="O21" s="36" t="n">
        <v>1</v>
      </c>
      <c r="P21" s="37" t="n">
        <v>0</v>
      </c>
      <c r="Q21" s="37" t="n">
        <v>0</v>
      </c>
      <c r="R21" s="37" t="n">
        <v>0</v>
      </c>
      <c r="S21" s="37" t="n">
        <v>0</v>
      </c>
      <c r="T21" s="37" t="n">
        <v>0</v>
      </c>
      <c r="U21" s="37" t="n">
        <v>0</v>
      </c>
      <c r="V21" s="37" t="n">
        <v>0</v>
      </c>
      <c r="W21" s="37" t="n">
        <v>0</v>
      </c>
    </row>
    <row r="23">
      <c r="B23" s="35" t="inlineStr">
        <is>
          <t>Collections applicability multiplier  ▼</t>
        </is>
      </c>
    </row>
    <row r="24">
      <c r="A24" s="27" t="inlineStr">
        <is>
          <t>C01</t>
        </is>
      </c>
      <c r="B24" s="13" t="inlineStr">
        <is>
          <t>Tele-collections (dialer, IVR, agent, recording)</t>
        </is>
      </c>
      <c r="C24" s="36" t="n">
        <v>1</v>
      </c>
      <c r="D24" s="36" t="n">
        <v>1</v>
      </c>
      <c r="E24" s="36" t="n">
        <v>1</v>
      </c>
      <c r="F24" s="36" t="n">
        <v>1</v>
      </c>
      <c r="G24" s="36" t="n">
        <v>1</v>
      </c>
      <c r="H24" s="36" t="n">
        <v>1</v>
      </c>
      <c r="I24" s="36" t="n">
        <v>1</v>
      </c>
      <c r="J24" s="36" t="n">
        <v>1</v>
      </c>
      <c r="K24" s="36" t="n">
        <v>1</v>
      </c>
      <c r="L24" s="36" t="n">
        <v>1</v>
      </c>
      <c r="M24" s="36" t="n">
        <v>1</v>
      </c>
      <c r="N24" s="36" t="n">
        <v>1</v>
      </c>
      <c r="O24" s="36" t="n">
        <v>1</v>
      </c>
      <c r="P24" s="36" t="n">
        <v>1</v>
      </c>
      <c r="Q24" s="36" t="n">
        <v>1</v>
      </c>
      <c r="R24" s="36" t="n">
        <v>1</v>
      </c>
      <c r="S24" s="36" t="n">
        <v>1</v>
      </c>
      <c r="T24" s="36" t="n">
        <v>1</v>
      </c>
      <c r="U24" s="36" t="n">
        <v>1</v>
      </c>
      <c r="V24" s="36" t="n">
        <v>1</v>
      </c>
      <c r="W24" s="36" t="n">
        <v>1</v>
      </c>
    </row>
    <row r="25">
      <c r="A25" s="27" t="inlineStr">
        <is>
          <t>C02</t>
        </is>
      </c>
      <c r="B25" s="13" t="inlineStr">
        <is>
          <t>Digital collection retry (UPI / link / NACH)</t>
        </is>
      </c>
      <c r="C25" s="36" t="n">
        <v>1</v>
      </c>
      <c r="D25" s="36" t="n">
        <v>1</v>
      </c>
      <c r="E25" s="36" t="n">
        <v>1</v>
      </c>
      <c r="F25" s="36" t="n">
        <v>1</v>
      </c>
      <c r="G25" s="36" t="n">
        <v>1</v>
      </c>
      <c r="H25" s="36" t="n">
        <v>1</v>
      </c>
      <c r="I25" s="36" t="n">
        <v>1</v>
      </c>
      <c r="J25" s="36" t="n">
        <v>1</v>
      </c>
      <c r="K25" s="36" t="n">
        <v>1</v>
      </c>
      <c r="L25" s="36" t="n">
        <v>1</v>
      </c>
      <c r="M25" s="36" t="n">
        <v>1</v>
      </c>
      <c r="N25" s="36" t="n">
        <v>1</v>
      </c>
      <c r="O25" s="36" t="n">
        <v>1</v>
      </c>
      <c r="P25" s="36" t="n">
        <v>1</v>
      </c>
      <c r="Q25" s="36" t="n">
        <v>1</v>
      </c>
      <c r="R25" s="36" t="n">
        <v>1</v>
      </c>
      <c r="S25" s="36" t="n">
        <v>1</v>
      </c>
      <c r="T25" s="36" t="n">
        <v>1</v>
      </c>
      <c r="U25" s="36" t="n">
        <v>1</v>
      </c>
      <c r="V25" s="36" t="n">
        <v>1</v>
      </c>
      <c r="W25" s="36" t="n">
        <v>1</v>
      </c>
    </row>
    <row r="26">
      <c r="A26" s="27" t="inlineStr">
        <is>
          <t>C03</t>
        </is>
      </c>
      <c r="B26" s="13" t="inlineStr">
        <is>
          <t>Field collection visit</t>
        </is>
      </c>
      <c r="C26" s="36" t="n">
        <v>1</v>
      </c>
      <c r="D26" s="36" t="n">
        <v>1</v>
      </c>
      <c r="E26" s="36" t="n">
        <v>1</v>
      </c>
      <c r="F26" s="36" t="n">
        <v>1</v>
      </c>
      <c r="G26" s="36" t="n">
        <v>1</v>
      </c>
      <c r="H26" s="36" t="n">
        <v>1</v>
      </c>
      <c r="I26" s="36" t="n">
        <v>1</v>
      </c>
      <c r="J26" s="36" t="n">
        <v>1</v>
      </c>
      <c r="K26" s="36" t="n">
        <v>1</v>
      </c>
      <c r="L26" s="36" t="n">
        <v>1</v>
      </c>
      <c r="M26" s="36" t="n">
        <v>1</v>
      </c>
      <c r="N26" s="36" t="n">
        <v>1</v>
      </c>
      <c r="O26" s="36" t="n">
        <v>0.2</v>
      </c>
      <c r="P26" s="36" t="n">
        <v>1</v>
      </c>
      <c r="Q26" s="36" t="n">
        <v>1</v>
      </c>
      <c r="R26" s="36" t="n">
        <v>1.5</v>
      </c>
      <c r="S26" s="36" t="n">
        <v>0.3</v>
      </c>
      <c r="T26" s="36" t="n">
        <v>1</v>
      </c>
      <c r="U26" s="36" t="n">
        <v>1</v>
      </c>
      <c r="V26" s="36" t="n">
        <v>1</v>
      </c>
      <c r="W26" s="36" t="n">
        <v>1</v>
      </c>
    </row>
    <row r="27">
      <c r="A27" s="27" t="inlineStr">
        <is>
          <t>C04</t>
        </is>
      </c>
      <c r="B27" s="13" t="inlineStr">
        <is>
          <t>Agency oversight, roster and invoice handling</t>
        </is>
      </c>
      <c r="C27" s="36" t="n">
        <v>1</v>
      </c>
      <c r="D27" s="36" t="n">
        <v>1</v>
      </c>
      <c r="E27" s="36" t="n">
        <v>1</v>
      </c>
      <c r="F27" s="36" t="n">
        <v>1</v>
      </c>
      <c r="G27" s="36" t="n">
        <v>1</v>
      </c>
      <c r="H27" s="36" t="n">
        <v>1</v>
      </c>
      <c r="I27" s="36" t="n">
        <v>1</v>
      </c>
      <c r="J27" s="36" t="n">
        <v>1</v>
      </c>
      <c r="K27" s="36" t="n">
        <v>1</v>
      </c>
      <c r="L27" s="36" t="n">
        <v>1</v>
      </c>
      <c r="M27" s="36" t="n">
        <v>1</v>
      </c>
      <c r="N27" s="36" t="n">
        <v>1</v>
      </c>
      <c r="O27" s="36" t="n">
        <v>1</v>
      </c>
      <c r="P27" s="36" t="n">
        <v>1</v>
      </c>
      <c r="Q27" s="36" t="n">
        <v>1</v>
      </c>
      <c r="R27" s="36" t="n">
        <v>1</v>
      </c>
      <c r="S27" s="36" t="n">
        <v>1</v>
      </c>
      <c r="T27" s="36" t="n">
        <v>1</v>
      </c>
      <c r="U27" s="36" t="n">
        <v>1</v>
      </c>
      <c r="V27" s="36" t="n">
        <v>1</v>
      </c>
      <c r="W27" s="36" t="n">
        <v>1</v>
      </c>
    </row>
    <row r="28">
      <c r="A28" s="27" t="inlineStr">
        <is>
          <t>C05</t>
        </is>
      </c>
      <c r="B28" s="13" t="inlineStr">
        <is>
          <t>Legal case filing and eCourts tracking</t>
        </is>
      </c>
      <c r="C28" s="36" t="n">
        <v>1</v>
      </c>
      <c r="D28" s="36" t="n">
        <v>1</v>
      </c>
      <c r="E28" s="36" t="n">
        <v>1</v>
      </c>
      <c r="F28" s="36" t="n">
        <v>1</v>
      </c>
      <c r="G28" s="36" t="n">
        <v>1</v>
      </c>
      <c r="H28" s="36" t="n">
        <v>1</v>
      </c>
      <c r="I28" s="36" t="n">
        <v>1</v>
      </c>
      <c r="J28" s="36" t="n">
        <v>1</v>
      </c>
      <c r="K28" s="36" t="n">
        <v>1</v>
      </c>
      <c r="L28" s="36" t="n">
        <v>1</v>
      </c>
      <c r="M28" s="36" t="n">
        <v>1</v>
      </c>
      <c r="N28" s="36" t="n">
        <v>1</v>
      </c>
      <c r="O28" s="36" t="n">
        <v>0.1</v>
      </c>
      <c r="P28" s="36" t="n">
        <v>1</v>
      </c>
      <c r="Q28" s="36" t="n">
        <v>1</v>
      </c>
      <c r="R28" s="36" t="n">
        <v>0.1</v>
      </c>
      <c r="S28" s="36" t="n">
        <v>0.2</v>
      </c>
      <c r="T28" s="36" t="n">
        <v>1</v>
      </c>
      <c r="U28" s="36" t="n">
        <v>1</v>
      </c>
      <c r="V28" s="36" t="n">
        <v>1</v>
      </c>
      <c r="W28" s="36" t="n">
        <v>1</v>
      </c>
    </row>
    <row r="29">
      <c r="A29" s="27" t="inlineStr">
        <is>
          <t>C06</t>
        </is>
      </c>
      <c r="B29" s="13" t="inlineStr">
        <is>
          <t>Security enforcement (notice, possession, custodian)</t>
        </is>
      </c>
      <c r="C29" s="37" t="n">
        <v>0</v>
      </c>
      <c r="D29" s="37" t="n">
        <v>0</v>
      </c>
      <c r="E29" s="36" t="n">
        <v>0.5</v>
      </c>
      <c r="F29" s="36" t="n">
        <v>0.4</v>
      </c>
      <c r="G29" s="37" t="n">
        <v>0</v>
      </c>
      <c r="H29" s="36" t="n">
        <v>1</v>
      </c>
      <c r="I29" s="36" t="n">
        <v>1</v>
      </c>
      <c r="J29" s="36" t="n">
        <v>1</v>
      </c>
      <c r="K29" s="36" t="n">
        <v>0.5</v>
      </c>
      <c r="L29" s="36" t="n">
        <v>0.5</v>
      </c>
      <c r="M29" s="37" t="n">
        <v>0</v>
      </c>
      <c r="N29" s="36" t="n">
        <v>0.3</v>
      </c>
      <c r="O29" s="37" t="n">
        <v>0</v>
      </c>
      <c r="P29" s="36" t="n">
        <v>0.3</v>
      </c>
      <c r="Q29" s="36" t="n">
        <v>0.2</v>
      </c>
      <c r="R29" s="37" t="n">
        <v>0</v>
      </c>
      <c r="S29" s="37" t="n">
        <v>0</v>
      </c>
      <c r="T29" s="36" t="n">
        <v>0.3</v>
      </c>
      <c r="U29" s="36" t="n">
        <v>0.3</v>
      </c>
      <c r="V29" s="36" t="n">
        <v>0.2</v>
      </c>
      <c r="W29" s="36" t="n">
        <v>0.4</v>
      </c>
    </row>
    <row r="30">
      <c r="A30" s="27" t="inlineStr">
        <is>
          <t>C07</t>
        </is>
      </c>
      <c r="B30" s="13" t="inlineStr">
        <is>
          <t>Auction (publish, bidder KYC, certificate)</t>
        </is>
      </c>
      <c r="C30" s="37" t="n">
        <v>0</v>
      </c>
      <c r="D30" s="37" t="n">
        <v>0</v>
      </c>
      <c r="E30" s="36" t="n">
        <v>0.3</v>
      </c>
      <c r="F30" s="36" t="n">
        <v>0.3</v>
      </c>
      <c r="G30" s="37" t="n">
        <v>0</v>
      </c>
      <c r="H30" s="36" t="n">
        <v>1</v>
      </c>
      <c r="I30" s="36" t="n">
        <v>1</v>
      </c>
      <c r="J30" s="36" t="n">
        <v>1</v>
      </c>
      <c r="K30" s="36" t="n">
        <v>1</v>
      </c>
      <c r="L30" s="36" t="n">
        <v>1</v>
      </c>
      <c r="M30" s="36" t="n">
        <v>1</v>
      </c>
      <c r="N30" s="36" t="n">
        <v>1</v>
      </c>
      <c r="O30" s="36" t="n">
        <v>1</v>
      </c>
      <c r="P30" s="36" t="n">
        <v>0.3</v>
      </c>
      <c r="Q30" s="36" t="n">
        <v>0.2</v>
      </c>
      <c r="R30" s="37" t="n">
        <v>0</v>
      </c>
      <c r="S30" s="37" t="n">
        <v>0</v>
      </c>
      <c r="T30" s="37" t="n">
        <v>0</v>
      </c>
      <c r="U30" s="37" t="n">
        <v>0</v>
      </c>
      <c r="V30" s="37" t="n">
        <v>0</v>
      </c>
      <c r="W30" s="36" t="n">
        <v>0.2</v>
      </c>
    </row>
    <row r="31">
      <c r="A31" s="27" t="inlineStr">
        <is>
          <t>C08</t>
        </is>
      </c>
      <c r="B31" s="13" t="inlineStr">
        <is>
          <t>Recovery proceeds handling and GL posting</t>
        </is>
      </c>
      <c r="C31" s="36" t="n">
        <v>1</v>
      </c>
      <c r="D31" s="36" t="n">
        <v>1</v>
      </c>
      <c r="E31" s="36" t="n">
        <v>1</v>
      </c>
      <c r="F31" s="36" t="n">
        <v>1</v>
      </c>
      <c r="G31" s="36" t="n">
        <v>1</v>
      </c>
      <c r="H31" s="36" t="n">
        <v>1</v>
      </c>
      <c r="I31" s="36" t="n">
        <v>1</v>
      </c>
      <c r="J31" s="36" t="n">
        <v>1</v>
      </c>
      <c r="K31" s="36" t="n">
        <v>1</v>
      </c>
      <c r="L31" s="36" t="n">
        <v>1</v>
      </c>
      <c r="M31" s="36" t="n">
        <v>1</v>
      </c>
      <c r="N31" s="36" t="n">
        <v>1</v>
      </c>
      <c r="O31" s="36" t="n">
        <v>1</v>
      </c>
      <c r="P31" s="36" t="n">
        <v>1</v>
      </c>
      <c r="Q31" s="36" t="n">
        <v>1</v>
      </c>
      <c r="R31" s="36" t="n">
        <v>1</v>
      </c>
      <c r="S31" s="36" t="n">
        <v>1</v>
      </c>
      <c r="T31" s="36" t="n">
        <v>1</v>
      </c>
      <c r="U31" s="36" t="n">
        <v>1</v>
      </c>
      <c r="V31" s="36" t="n">
        <v>1</v>
      </c>
      <c r="W31" s="36" t="n">
        <v>1</v>
      </c>
    </row>
    <row r="32">
      <c r="A32" s="27" t="inlineStr">
        <is>
          <t>C09</t>
        </is>
      </c>
      <c r="B32" s="13" t="inlineStr">
        <is>
          <t>Repossession and yard management</t>
        </is>
      </c>
      <c r="C32" s="37" t="n">
        <v>0</v>
      </c>
      <c r="D32" s="37" t="n">
        <v>0</v>
      </c>
      <c r="E32" s="37" t="n">
        <v>0</v>
      </c>
      <c r="F32" s="37" t="n">
        <v>0</v>
      </c>
      <c r="G32" s="37" t="n">
        <v>0</v>
      </c>
      <c r="H32" s="37" t="n">
        <v>0</v>
      </c>
      <c r="I32" s="37" t="n">
        <v>0</v>
      </c>
      <c r="J32" s="37" t="n">
        <v>0</v>
      </c>
      <c r="K32" s="36" t="n">
        <v>1</v>
      </c>
      <c r="L32" s="36" t="n">
        <v>1</v>
      </c>
      <c r="M32" s="36" t="n">
        <v>1</v>
      </c>
      <c r="N32" s="36" t="n">
        <v>1</v>
      </c>
      <c r="O32" s="37" t="n">
        <v>0</v>
      </c>
      <c r="P32" s="37" t="n">
        <v>0</v>
      </c>
      <c r="Q32" s="37" t="n">
        <v>0</v>
      </c>
      <c r="R32" s="37" t="n">
        <v>0</v>
      </c>
      <c r="S32" s="37" t="n">
        <v>0</v>
      </c>
      <c r="T32" s="37" t="n">
        <v>0</v>
      </c>
      <c r="U32" s="37" t="n">
        <v>0</v>
      </c>
      <c r="V32" s="37" t="n">
        <v>0</v>
      </c>
      <c r="W32" s="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3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6 — Funnel, loan lifetime and derived quantities</t>
        </is>
      </c>
    </row>
    <row r="2">
      <c r="A2" s="2" t="inlineStr">
        <is>
          <t>The three assumption sets that move the answer most: origination conversion, effective loan life, and the delinquency profile. Everything below the profile blocks is derived — do not edit it.</t>
        </is>
      </c>
    </row>
    <row r="4" ht="32" customHeight="1">
      <c r="A4" s="11" t="inlineStr">
        <is>
          <t>Seq</t>
        </is>
      </c>
      <c r="B4" s="11" t="inlineStr">
        <is>
          <t>LOS stage</t>
        </is>
      </c>
      <c r="C4" s="11" t="inlineStr">
        <is>
          <t>Digital_Unsecured</t>
        </is>
      </c>
      <c r="D4" s="11" t="inlineStr">
        <is>
          <t>MSME_Business</t>
        </is>
      </c>
      <c r="E4" s="11" t="inlineStr">
        <is>
          <t>Secured_HighTouch</t>
        </is>
      </c>
      <c r="F4" s="11" t="inlineStr">
        <is>
          <t>Field_Group</t>
        </is>
      </c>
      <c r="G4" s="11" t="inlineStr">
        <is>
          <t>POS_Instant</t>
        </is>
      </c>
      <c r="H4" s="11" t="inlineStr">
        <is>
          <t>Note</t>
        </is>
      </c>
    </row>
    <row r="5">
      <c r="A5" s="18" t="n">
        <v>1</v>
      </c>
      <c r="B5" s="38" t="inlineStr">
        <is>
          <t>application_capture</t>
        </is>
      </c>
      <c r="C5" s="9" t="n">
        <v>1</v>
      </c>
      <c r="D5" s="9" t="n">
        <v>1</v>
      </c>
      <c r="E5" s="9" t="n">
        <v>1</v>
      </c>
      <c r="F5" s="9" t="n">
        <v>1</v>
      </c>
      <c r="G5" s="9" t="n">
        <v>1</v>
      </c>
      <c r="H5" s="14" t="inlineStr">
        <is>
          <t>Everything that starts. Junk leads live here — never meter revenue on this.</t>
        </is>
      </c>
    </row>
    <row r="6">
      <c r="A6" s="18" t="n">
        <v>2</v>
      </c>
      <c r="B6" s="38" t="inlineStr">
        <is>
          <t>kyc_aml</t>
        </is>
      </c>
      <c r="C6" s="9" t="n">
        <v>0.78</v>
      </c>
      <c r="D6" s="9" t="n">
        <v>0.85</v>
      </c>
      <c r="E6" s="9" t="n">
        <v>0.92</v>
      </c>
      <c r="F6" s="9" t="n">
        <v>0.95</v>
      </c>
      <c r="G6" s="9" t="n">
        <v>0.9399999999999999</v>
      </c>
      <c r="H6" s="14" t="inlineStr">
        <is>
          <t>Drop-off from abandoned KYC, failed liveness and AML referrals.</t>
        </is>
      </c>
    </row>
    <row r="7">
      <c r="A7" s="18" t="n">
        <v>3</v>
      </c>
      <c r="B7" s="38" t="inlineStr">
        <is>
          <t>specialist_assessment</t>
        </is>
      </c>
      <c r="C7" s="9" t="n">
        <v>0.68</v>
      </c>
      <c r="D7" s="9" t="n">
        <v>0.76</v>
      </c>
      <c r="E7" s="9" t="n">
        <v>0.88</v>
      </c>
      <c r="F7" s="9" t="n">
        <v>0.92</v>
      </c>
      <c r="G7" s="9" t="n">
        <v>0.9</v>
      </c>
      <c r="H7" s="14" t="inlineStr">
        <is>
          <t>Where bureau, AA and BSA cost is incurred — on files that may never fund.</t>
        </is>
      </c>
    </row>
    <row r="8">
      <c r="A8" s="18" t="n">
        <v>4</v>
      </c>
      <c r="B8" s="38" t="inlineStr">
        <is>
          <t>credit_decision</t>
        </is>
      </c>
      <c r="C8" s="9" t="n">
        <v>0.62</v>
      </c>
      <c r="D8" s="9" t="n">
        <v>0.7</v>
      </c>
      <c r="E8" s="9" t="n">
        <v>0.82</v>
      </c>
      <c r="F8" s="9" t="n">
        <v>0.9</v>
      </c>
      <c r="G8" s="9" t="n">
        <v>0.88</v>
      </c>
      <c r="H8" s="14" t="inlineStr">
        <is>
          <t>Recommended revenue meter #1: real engine work, hard to game.</t>
        </is>
      </c>
    </row>
    <row r="9">
      <c r="A9" s="18" t="n">
        <v>5</v>
      </c>
      <c r="B9" s="38" t="inlineStr">
        <is>
          <t>kfs_acceptance</t>
        </is>
      </c>
      <c r="C9" s="9" t="n">
        <v>0.4</v>
      </c>
      <c r="D9" s="9" t="n">
        <v>0.48</v>
      </c>
      <c r="E9" s="9" t="n">
        <v>0.62</v>
      </c>
      <c r="F9" s="9" t="n">
        <v>0.8</v>
      </c>
      <c r="G9" s="9" t="n">
        <v>0.75</v>
      </c>
      <c r="H9" s="14" t="inlineStr">
        <is>
          <t>The approval cliff. The gap from credit_decision is your approval rate.</t>
        </is>
      </c>
    </row>
    <row r="10">
      <c r="A10" s="18" t="n">
        <v>6</v>
      </c>
      <c r="B10" s="38" t="inlineStr">
        <is>
          <t>contracting</t>
        </is>
      </c>
      <c r="C10" s="9" t="n">
        <v>0.35</v>
      </c>
      <c r="D10" s="9" t="n">
        <v>0.43</v>
      </c>
      <c r="E10" s="9" t="n">
        <v>0.5600000000000001</v>
      </c>
      <c r="F10" s="9" t="n">
        <v>0.76</v>
      </c>
      <c r="G10" s="9" t="n">
        <v>0.7</v>
      </c>
      <c r="H10" s="14" t="inlineStr">
        <is>
          <t>eSign and eStamp drop-off.</t>
        </is>
      </c>
    </row>
    <row r="11">
      <c r="A11" s="18" t="n">
        <v>7</v>
      </c>
      <c r="B11" s="38" t="inlineStr">
        <is>
          <t>disbursement</t>
        </is>
      </c>
      <c r="C11" s="39" t="n">
        <v>0.32</v>
      </c>
      <c r="D11" s="39" t="n">
        <v>0.4</v>
      </c>
      <c r="E11" s="39" t="n">
        <v>0.52</v>
      </c>
      <c r="F11" s="39" t="n">
        <v>0.74</v>
      </c>
      <c r="G11" s="39" t="n">
        <v>0.68</v>
      </c>
      <c r="H11" s="14" t="inlineStr">
        <is>
          <t>FUNDED RATE. Origination cost per funded loan scales inversely with this.</t>
        </is>
      </c>
    </row>
    <row r="12">
      <c r="A12" s="18" t="n">
        <v>8</v>
      </c>
      <c r="B12" s="38" t="inlineStr">
        <is>
          <t>multiple</t>
        </is>
      </c>
      <c r="C12" s="9" t="n">
        <v>0.75</v>
      </c>
      <c r="D12" s="9" t="n">
        <v>0.8</v>
      </c>
      <c r="E12" s="9" t="n">
        <v>0.9</v>
      </c>
      <c r="F12" s="9" t="n">
        <v>0.93</v>
      </c>
      <c r="G12" s="9" t="n">
        <v>0.92</v>
      </c>
      <c r="H12" s="14" t="inlineStr">
        <is>
          <t>Blended reach for drivers firing across several stages (AI/agent tokens, retrieval).</t>
        </is>
      </c>
    </row>
    <row r="14">
      <c r="B14" s="30" t="inlineStr">
        <is>
          <t>Funded rate (= disbursement reach)</t>
        </is>
      </c>
      <c r="C14" s="40">
        <f>C11</f>
        <v/>
      </c>
      <c r="D14" s="40">
        <f>D11</f>
        <v/>
      </c>
      <c r="E14" s="40">
        <f>E11</f>
        <v/>
      </c>
      <c r="F14" s="40">
        <f>F11</f>
        <v/>
      </c>
      <c r="G14" s="40">
        <f>G11</f>
        <v/>
      </c>
    </row>
    <row r="15">
      <c r="B15" s="38" t="inlineStr">
        <is>
          <t>Applications per funded loan</t>
        </is>
      </c>
      <c r="C15" s="41">
        <f>IFERROR(1/C11,0)</f>
        <v/>
      </c>
      <c r="D15" s="41">
        <f>IFERROR(1/D11,0)</f>
        <v/>
      </c>
      <c r="E15" s="41">
        <f>IFERROR(1/E11,0)</f>
        <v/>
      </c>
      <c r="F15" s="41">
        <f>IFERROR(1/F11,0)</f>
        <v/>
      </c>
      <c r="G15" s="41">
        <f>IFERROR(1/G11,0)</f>
        <v/>
      </c>
      <c r="H15" s="14" t="inlineStr">
        <is>
          <t>You pay verification cost on every one of these, but bill an origination fee on only the one that funds.</t>
        </is>
      </c>
    </row>
    <row r="18">
      <c r="A18" s="3" t="inlineStr">
        <is>
          <t>LOS driver reach lookup (derived)</t>
        </is>
      </c>
      <c r="B18" s="4" t="n"/>
      <c r="C18" s="4" t="n"/>
      <c r="D18" s="4" t="n"/>
      <c r="E18" s="4" t="n"/>
      <c r="F18" s="4" t="n"/>
      <c r="G18" s="4" t="n"/>
      <c r="H18" s="4" t="n"/>
    </row>
    <row r="19" ht="20" customHeight="1">
      <c r="A19" s="11" t="inlineStr">
        <is>
          <t>Driver ID</t>
        </is>
      </c>
      <c r="B19" s="11" t="inlineStr">
        <is>
          <t>LOS stage</t>
        </is>
      </c>
      <c r="C19" s="11" t="inlineStr">
        <is>
          <t>Digital_Unsecured</t>
        </is>
      </c>
      <c r="D19" s="11" t="inlineStr">
        <is>
          <t>MSME_Business</t>
        </is>
      </c>
      <c r="E19" s="11" t="inlineStr">
        <is>
          <t>Secured_HighTouch</t>
        </is>
      </c>
      <c r="F19" s="11" t="inlineStr">
        <is>
          <t>Field_Group</t>
        </is>
      </c>
      <c r="G19" s="11" t="inlineStr">
        <is>
          <t>POS_Instant</t>
        </is>
      </c>
    </row>
    <row r="20">
      <c r="A20" s="18" t="inlineStr">
        <is>
          <t>D01</t>
        </is>
      </c>
      <c r="B20" s="13" t="inlineStr">
        <is>
          <t>application_capture</t>
        </is>
      </c>
      <c r="C20" s="42">
        <f>INDEX(C$5:C$12,MATCH($B20,$B$5:$B$12,0))</f>
        <v/>
      </c>
      <c r="D20" s="42">
        <f>INDEX(D$5:D$12,MATCH($B20,$B$5:$B$12,0))</f>
        <v/>
      </c>
      <c r="E20" s="42">
        <f>INDEX(E$5:E$12,MATCH($B20,$B$5:$B$12,0))</f>
        <v/>
      </c>
      <c r="F20" s="42">
        <f>INDEX(F$5:F$12,MATCH($B20,$B$5:$B$12,0))</f>
        <v/>
      </c>
      <c r="G20" s="42">
        <f>INDEX(G$5:G$12,MATCH($B20,$B$5:$B$12,0))</f>
        <v/>
      </c>
    </row>
    <row r="21">
      <c r="A21" s="18" t="inlineStr">
        <is>
          <t>D02</t>
        </is>
      </c>
      <c r="B21" s="13" t="inlineStr">
        <is>
          <t>application_capture</t>
        </is>
      </c>
      <c r="C21" s="42">
        <f>INDEX(C$5:C$12,MATCH($B21,$B$5:$B$12,0))</f>
        <v/>
      </c>
      <c r="D21" s="42">
        <f>INDEX(D$5:D$12,MATCH($B21,$B$5:$B$12,0))</f>
        <v/>
      </c>
      <c r="E21" s="42">
        <f>INDEX(E$5:E$12,MATCH($B21,$B$5:$B$12,0))</f>
        <v/>
      </c>
      <c r="F21" s="42">
        <f>INDEX(F$5:F$12,MATCH($B21,$B$5:$B$12,0))</f>
        <v/>
      </c>
      <c r="G21" s="42">
        <f>INDEX(G$5:G$12,MATCH($B21,$B$5:$B$12,0))</f>
        <v/>
      </c>
    </row>
    <row r="22">
      <c r="A22" s="18" t="inlineStr">
        <is>
          <t>D03</t>
        </is>
      </c>
      <c r="B22" s="13" t="inlineStr">
        <is>
          <t>application_capture</t>
        </is>
      </c>
      <c r="C22" s="42">
        <f>INDEX(C$5:C$12,MATCH($B22,$B$5:$B$12,0))</f>
        <v/>
      </c>
      <c r="D22" s="42">
        <f>INDEX(D$5:D$12,MATCH($B22,$B$5:$B$12,0))</f>
        <v/>
      </c>
      <c r="E22" s="42">
        <f>INDEX(E$5:E$12,MATCH($B22,$B$5:$B$12,0))</f>
        <v/>
      </c>
      <c r="F22" s="42">
        <f>INDEX(F$5:F$12,MATCH($B22,$B$5:$B$12,0))</f>
        <v/>
      </c>
      <c r="G22" s="42">
        <f>INDEX(G$5:G$12,MATCH($B22,$B$5:$B$12,0))</f>
        <v/>
      </c>
    </row>
    <row r="23">
      <c r="A23" s="18" t="inlineStr">
        <is>
          <t>D04</t>
        </is>
      </c>
      <c r="B23" s="13" t="inlineStr">
        <is>
          <t>application_capture</t>
        </is>
      </c>
      <c r="C23" s="42">
        <f>INDEX(C$5:C$12,MATCH($B23,$B$5:$B$12,0))</f>
        <v/>
      </c>
      <c r="D23" s="42">
        <f>INDEX(D$5:D$12,MATCH($B23,$B$5:$B$12,0))</f>
        <v/>
      </c>
      <c r="E23" s="42">
        <f>INDEX(E$5:E$12,MATCH($B23,$B$5:$B$12,0))</f>
        <v/>
      </c>
      <c r="F23" s="42">
        <f>INDEX(F$5:F$12,MATCH($B23,$B$5:$B$12,0))</f>
        <v/>
      </c>
      <c r="G23" s="42">
        <f>INDEX(G$5:G$12,MATCH($B23,$B$5:$B$12,0))</f>
        <v/>
      </c>
    </row>
    <row r="24">
      <c r="A24" s="18" t="inlineStr">
        <is>
          <t>D05</t>
        </is>
      </c>
      <c r="B24" s="13" t="inlineStr">
        <is>
          <t>application_capture</t>
        </is>
      </c>
      <c r="C24" s="42">
        <f>INDEX(C$5:C$12,MATCH($B24,$B$5:$B$12,0))</f>
        <v/>
      </c>
      <c r="D24" s="42">
        <f>INDEX(D$5:D$12,MATCH($B24,$B$5:$B$12,0))</f>
        <v/>
      </c>
      <c r="E24" s="42">
        <f>INDEX(E$5:E$12,MATCH($B24,$B$5:$B$12,0))</f>
        <v/>
      </c>
      <c r="F24" s="42">
        <f>INDEX(F$5:F$12,MATCH($B24,$B$5:$B$12,0))</f>
        <v/>
      </c>
      <c r="G24" s="42">
        <f>INDEX(G$5:G$12,MATCH($B24,$B$5:$B$12,0))</f>
        <v/>
      </c>
    </row>
    <row r="25">
      <c r="A25" s="18" t="inlineStr">
        <is>
          <t>D06</t>
        </is>
      </c>
      <c r="B25" s="13" t="inlineStr">
        <is>
          <t>kyc_aml</t>
        </is>
      </c>
      <c r="C25" s="42">
        <f>INDEX(C$5:C$12,MATCH($B25,$B$5:$B$12,0))</f>
        <v/>
      </c>
      <c r="D25" s="42">
        <f>INDEX(D$5:D$12,MATCH($B25,$B$5:$B$12,0))</f>
        <v/>
      </c>
      <c r="E25" s="42">
        <f>INDEX(E$5:E$12,MATCH($B25,$B$5:$B$12,0))</f>
        <v/>
      </c>
      <c r="F25" s="42">
        <f>INDEX(F$5:F$12,MATCH($B25,$B$5:$B$12,0))</f>
        <v/>
      </c>
      <c r="G25" s="42">
        <f>INDEX(G$5:G$12,MATCH($B25,$B$5:$B$12,0))</f>
        <v/>
      </c>
    </row>
    <row r="26">
      <c r="A26" s="18" t="inlineStr">
        <is>
          <t>D07</t>
        </is>
      </c>
      <c r="B26" s="13" t="inlineStr">
        <is>
          <t>kyc_aml</t>
        </is>
      </c>
      <c r="C26" s="42">
        <f>INDEX(C$5:C$12,MATCH($B26,$B$5:$B$12,0))</f>
        <v/>
      </c>
      <c r="D26" s="42">
        <f>INDEX(D$5:D$12,MATCH($B26,$B$5:$B$12,0))</f>
        <v/>
      </c>
      <c r="E26" s="42">
        <f>INDEX(E$5:E$12,MATCH($B26,$B$5:$B$12,0))</f>
        <v/>
      </c>
      <c r="F26" s="42">
        <f>INDEX(F$5:F$12,MATCH($B26,$B$5:$B$12,0))</f>
        <v/>
      </c>
      <c r="G26" s="42">
        <f>INDEX(G$5:G$12,MATCH($B26,$B$5:$B$12,0))</f>
        <v/>
      </c>
    </row>
    <row r="27">
      <c r="A27" s="18" t="inlineStr">
        <is>
          <t>D08</t>
        </is>
      </c>
      <c r="B27" s="13" t="inlineStr">
        <is>
          <t>kyc_aml</t>
        </is>
      </c>
      <c r="C27" s="42">
        <f>INDEX(C$5:C$12,MATCH($B27,$B$5:$B$12,0))</f>
        <v/>
      </c>
      <c r="D27" s="42">
        <f>INDEX(D$5:D$12,MATCH($B27,$B$5:$B$12,0))</f>
        <v/>
      </c>
      <c r="E27" s="42">
        <f>INDEX(E$5:E$12,MATCH($B27,$B$5:$B$12,0))</f>
        <v/>
      </c>
      <c r="F27" s="42">
        <f>INDEX(F$5:F$12,MATCH($B27,$B$5:$B$12,0))</f>
        <v/>
      </c>
      <c r="G27" s="42">
        <f>INDEX(G$5:G$12,MATCH($B27,$B$5:$B$12,0))</f>
        <v/>
      </c>
    </row>
    <row r="28">
      <c r="A28" s="18" t="inlineStr">
        <is>
          <t>D09</t>
        </is>
      </c>
      <c r="B28" s="13" t="inlineStr">
        <is>
          <t>kyc_aml</t>
        </is>
      </c>
      <c r="C28" s="42">
        <f>INDEX(C$5:C$12,MATCH($B28,$B$5:$B$12,0))</f>
        <v/>
      </c>
      <c r="D28" s="42">
        <f>INDEX(D$5:D$12,MATCH($B28,$B$5:$B$12,0))</f>
        <v/>
      </c>
      <c r="E28" s="42">
        <f>INDEX(E$5:E$12,MATCH($B28,$B$5:$B$12,0))</f>
        <v/>
      </c>
      <c r="F28" s="42">
        <f>INDEX(F$5:F$12,MATCH($B28,$B$5:$B$12,0))</f>
        <v/>
      </c>
      <c r="G28" s="42">
        <f>INDEX(G$5:G$12,MATCH($B28,$B$5:$B$12,0))</f>
        <v/>
      </c>
    </row>
    <row r="29">
      <c r="A29" s="18" t="inlineStr">
        <is>
          <t>D10</t>
        </is>
      </c>
      <c r="B29" s="13" t="inlineStr">
        <is>
          <t>kyc_aml</t>
        </is>
      </c>
      <c r="C29" s="42">
        <f>INDEX(C$5:C$12,MATCH($B29,$B$5:$B$12,0))</f>
        <v/>
      </c>
      <c r="D29" s="42">
        <f>INDEX(D$5:D$12,MATCH($B29,$B$5:$B$12,0))</f>
        <v/>
      </c>
      <c r="E29" s="42">
        <f>INDEX(E$5:E$12,MATCH($B29,$B$5:$B$12,0))</f>
        <v/>
      </c>
      <c r="F29" s="42">
        <f>INDEX(F$5:F$12,MATCH($B29,$B$5:$B$12,0))</f>
        <v/>
      </c>
      <c r="G29" s="42">
        <f>INDEX(G$5:G$12,MATCH($B29,$B$5:$B$12,0))</f>
        <v/>
      </c>
    </row>
    <row r="30">
      <c r="A30" s="18" t="inlineStr">
        <is>
          <t>D11</t>
        </is>
      </c>
      <c r="B30" s="13" t="inlineStr">
        <is>
          <t>kyc_aml</t>
        </is>
      </c>
      <c r="C30" s="42">
        <f>INDEX(C$5:C$12,MATCH($B30,$B$5:$B$12,0))</f>
        <v/>
      </c>
      <c r="D30" s="42">
        <f>INDEX(D$5:D$12,MATCH($B30,$B$5:$B$12,0))</f>
        <v/>
      </c>
      <c r="E30" s="42">
        <f>INDEX(E$5:E$12,MATCH($B30,$B$5:$B$12,0))</f>
        <v/>
      </c>
      <c r="F30" s="42">
        <f>INDEX(F$5:F$12,MATCH($B30,$B$5:$B$12,0))</f>
        <v/>
      </c>
      <c r="G30" s="42">
        <f>INDEX(G$5:G$12,MATCH($B30,$B$5:$B$12,0))</f>
        <v/>
      </c>
    </row>
    <row r="31">
      <c r="A31" s="18" t="inlineStr">
        <is>
          <t>D12</t>
        </is>
      </c>
      <c r="B31" s="13" t="inlineStr">
        <is>
          <t>kyc_aml</t>
        </is>
      </c>
      <c r="C31" s="42">
        <f>INDEX(C$5:C$12,MATCH($B31,$B$5:$B$12,0))</f>
        <v/>
      </c>
      <c r="D31" s="42">
        <f>INDEX(D$5:D$12,MATCH($B31,$B$5:$B$12,0))</f>
        <v/>
      </c>
      <c r="E31" s="42">
        <f>INDEX(E$5:E$12,MATCH($B31,$B$5:$B$12,0))</f>
        <v/>
      </c>
      <c r="F31" s="42">
        <f>INDEX(F$5:F$12,MATCH($B31,$B$5:$B$12,0))</f>
        <v/>
      </c>
      <c r="G31" s="42">
        <f>INDEX(G$5:G$12,MATCH($B31,$B$5:$B$12,0))</f>
        <v/>
      </c>
    </row>
    <row r="32">
      <c r="A32" s="18" t="inlineStr">
        <is>
          <t>D13</t>
        </is>
      </c>
      <c r="B32" s="13" t="inlineStr">
        <is>
          <t>kyc_aml</t>
        </is>
      </c>
      <c r="C32" s="42">
        <f>INDEX(C$5:C$12,MATCH($B32,$B$5:$B$12,0))</f>
        <v/>
      </c>
      <c r="D32" s="42">
        <f>INDEX(D$5:D$12,MATCH($B32,$B$5:$B$12,0))</f>
        <v/>
      </c>
      <c r="E32" s="42">
        <f>INDEX(E$5:E$12,MATCH($B32,$B$5:$B$12,0))</f>
        <v/>
      </c>
      <c r="F32" s="42">
        <f>INDEX(F$5:F$12,MATCH($B32,$B$5:$B$12,0))</f>
        <v/>
      </c>
      <c r="G32" s="42">
        <f>INDEX(G$5:G$12,MATCH($B32,$B$5:$B$12,0))</f>
        <v/>
      </c>
    </row>
    <row r="33">
      <c r="A33" s="18" t="inlineStr">
        <is>
          <t>D14</t>
        </is>
      </c>
      <c r="B33" s="13" t="inlineStr">
        <is>
          <t>specialist_assessment</t>
        </is>
      </c>
      <c r="C33" s="42">
        <f>INDEX(C$5:C$12,MATCH($B33,$B$5:$B$12,0))</f>
        <v/>
      </c>
      <c r="D33" s="42">
        <f>INDEX(D$5:D$12,MATCH($B33,$B$5:$B$12,0))</f>
        <v/>
      </c>
      <c r="E33" s="42">
        <f>INDEX(E$5:E$12,MATCH($B33,$B$5:$B$12,0))</f>
        <v/>
      </c>
      <c r="F33" s="42">
        <f>INDEX(F$5:F$12,MATCH($B33,$B$5:$B$12,0))</f>
        <v/>
      </c>
      <c r="G33" s="42">
        <f>INDEX(G$5:G$12,MATCH($B33,$B$5:$B$12,0))</f>
        <v/>
      </c>
    </row>
    <row r="34">
      <c r="A34" s="18" t="inlineStr">
        <is>
          <t>D15</t>
        </is>
      </c>
      <c r="B34" s="13" t="inlineStr">
        <is>
          <t>specialist_assessment</t>
        </is>
      </c>
      <c r="C34" s="42">
        <f>INDEX(C$5:C$12,MATCH($B34,$B$5:$B$12,0))</f>
        <v/>
      </c>
      <c r="D34" s="42">
        <f>INDEX(D$5:D$12,MATCH($B34,$B$5:$B$12,0))</f>
        <v/>
      </c>
      <c r="E34" s="42">
        <f>INDEX(E$5:E$12,MATCH($B34,$B$5:$B$12,0))</f>
        <v/>
      </c>
      <c r="F34" s="42">
        <f>INDEX(F$5:F$12,MATCH($B34,$B$5:$B$12,0))</f>
        <v/>
      </c>
      <c r="G34" s="42">
        <f>INDEX(G$5:G$12,MATCH($B34,$B$5:$B$12,0))</f>
        <v/>
      </c>
    </row>
    <row r="35">
      <c r="A35" s="18" t="inlineStr">
        <is>
          <t>D16</t>
        </is>
      </c>
      <c r="B35" s="13" t="inlineStr">
        <is>
          <t>specialist_assessment</t>
        </is>
      </c>
      <c r="C35" s="42">
        <f>INDEX(C$5:C$12,MATCH($B35,$B$5:$B$12,0))</f>
        <v/>
      </c>
      <c r="D35" s="42">
        <f>INDEX(D$5:D$12,MATCH($B35,$B$5:$B$12,0))</f>
        <v/>
      </c>
      <c r="E35" s="42">
        <f>INDEX(E$5:E$12,MATCH($B35,$B$5:$B$12,0))</f>
        <v/>
      </c>
      <c r="F35" s="42">
        <f>INDEX(F$5:F$12,MATCH($B35,$B$5:$B$12,0))</f>
        <v/>
      </c>
      <c r="G35" s="42">
        <f>INDEX(G$5:G$12,MATCH($B35,$B$5:$B$12,0))</f>
        <v/>
      </c>
    </row>
    <row r="36">
      <c r="A36" s="18" t="inlineStr">
        <is>
          <t>D17</t>
        </is>
      </c>
      <c r="B36" s="13" t="inlineStr">
        <is>
          <t>specialist_assessment</t>
        </is>
      </c>
      <c r="C36" s="42">
        <f>INDEX(C$5:C$12,MATCH($B36,$B$5:$B$12,0))</f>
        <v/>
      </c>
      <c r="D36" s="42">
        <f>INDEX(D$5:D$12,MATCH($B36,$B$5:$B$12,0))</f>
        <v/>
      </c>
      <c r="E36" s="42">
        <f>INDEX(E$5:E$12,MATCH($B36,$B$5:$B$12,0))</f>
        <v/>
      </c>
      <c r="F36" s="42">
        <f>INDEX(F$5:F$12,MATCH($B36,$B$5:$B$12,0))</f>
        <v/>
      </c>
      <c r="G36" s="42">
        <f>INDEX(G$5:G$12,MATCH($B36,$B$5:$B$12,0))</f>
        <v/>
      </c>
    </row>
    <row r="37">
      <c r="A37" s="18" t="inlineStr">
        <is>
          <t>D18</t>
        </is>
      </c>
      <c r="B37" s="13" t="inlineStr">
        <is>
          <t>specialist_assessment</t>
        </is>
      </c>
      <c r="C37" s="42">
        <f>INDEX(C$5:C$12,MATCH($B37,$B$5:$B$12,0))</f>
        <v/>
      </c>
      <c r="D37" s="42">
        <f>INDEX(D$5:D$12,MATCH($B37,$B$5:$B$12,0))</f>
        <v/>
      </c>
      <c r="E37" s="42">
        <f>INDEX(E$5:E$12,MATCH($B37,$B$5:$B$12,0))</f>
        <v/>
      </c>
      <c r="F37" s="42">
        <f>INDEX(F$5:F$12,MATCH($B37,$B$5:$B$12,0))</f>
        <v/>
      </c>
      <c r="G37" s="42">
        <f>INDEX(G$5:G$12,MATCH($B37,$B$5:$B$12,0))</f>
        <v/>
      </c>
    </row>
    <row r="38">
      <c r="A38" s="18" t="inlineStr">
        <is>
          <t>D19</t>
        </is>
      </c>
      <c r="B38" s="13" t="inlineStr">
        <is>
          <t>specialist_assessment</t>
        </is>
      </c>
      <c r="C38" s="42">
        <f>INDEX(C$5:C$12,MATCH($B38,$B$5:$B$12,0))</f>
        <v/>
      </c>
      <c r="D38" s="42">
        <f>INDEX(D$5:D$12,MATCH($B38,$B$5:$B$12,0))</f>
        <v/>
      </c>
      <c r="E38" s="42">
        <f>INDEX(E$5:E$12,MATCH($B38,$B$5:$B$12,0))</f>
        <v/>
      </c>
      <c r="F38" s="42">
        <f>INDEX(F$5:F$12,MATCH($B38,$B$5:$B$12,0))</f>
        <v/>
      </c>
      <c r="G38" s="42">
        <f>INDEX(G$5:G$12,MATCH($B38,$B$5:$B$12,0))</f>
        <v/>
      </c>
    </row>
    <row r="39">
      <c r="A39" s="18" t="inlineStr">
        <is>
          <t>D20</t>
        </is>
      </c>
      <c r="B39" s="13" t="inlineStr">
        <is>
          <t>specialist_assessment</t>
        </is>
      </c>
      <c r="C39" s="42">
        <f>INDEX(C$5:C$12,MATCH($B39,$B$5:$B$12,0))</f>
        <v/>
      </c>
      <c r="D39" s="42">
        <f>INDEX(D$5:D$12,MATCH($B39,$B$5:$B$12,0))</f>
        <v/>
      </c>
      <c r="E39" s="42">
        <f>INDEX(E$5:E$12,MATCH($B39,$B$5:$B$12,0))</f>
        <v/>
      </c>
      <c r="F39" s="42">
        <f>INDEX(F$5:F$12,MATCH($B39,$B$5:$B$12,0))</f>
        <v/>
      </c>
      <c r="G39" s="42">
        <f>INDEX(G$5:G$12,MATCH($B39,$B$5:$B$12,0))</f>
        <v/>
      </c>
    </row>
    <row r="40">
      <c r="A40" s="18" t="inlineStr">
        <is>
          <t>D21</t>
        </is>
      </c>
      <c r="B40" s="13" t="inlineStr">
        <is>
          <t>specialist_assessment</t>
        </is>
      </c>
      <c r="C40" s="42">
        <f>INDEX(C$5:C$12,MATCH($B40,$B$5:$B$12,0))</f>
        <v/>
      </c>
      <c r="D40" s="42">
        <f>INDEX(D$5:D$12,MATCH($B40,$B$5:$B$12,0))</f>
        <v/>
      </c>
      <c r="E40" s="42">
        <f>INDEX(E$5:E$12,MATCH($B40,$B$5:$B$12,0))</f>
        <v/>
      </c>
      <c r="F40" s="42">
        <f>INDEX(F$5:F$12,MATCH($B40,$B$5:$B$12,0))</f>
        <v/>
      </c>
      <c r="G40" s="42">
        <f>INDEX(G$5:G$12,MATCH($B40,$B$5:$B$12,0))</f>
        <v/>
      </c>
    </row>
    <row r="41">
      <c r="A41" s="18" t="inlineStr">
        <is>
          <t>D22</t>
        </is>
      </c>
      <c r="B41" s="13" t="inlineStr">
        <is>
          <t>specialist_assessment</t>
        </is>
      </c>
      <c r="C41" s="42">
        <f>INDEX(C$5:C$12,MATCH($B41,$B$5:$B$12,0))</f>
        <v/>
      </c>
      <c r="D41" s="42">
        <f>INDEX(D$5:D$12,MATCH($B41,$B$5:$B$12,0))</f>
        <v/>
      </c>
      <c r="E41" s="42">
        <f>INDEX(E$5:E$12,MATCH($B41,$B$5:$B$12,0))</f>
        <v/>
      </c>
      <c r="F41" s="42">
        <f>INDEX(F$5:F$12,MATCH($B41,$B$5:$B$12,0))</f>
        <v/>
      </c>
      <c r="G41" s="42">
        <f>INDEX(G$5:G$12,MATCH($B41,$B$5:$B$12,0))</f>
        <v/>
      </c>
    </row>
    <row r="42">
      <c r="A42" s="18" t="inlineStr">
        <is>
          <t>D23</t>
        </is>
      </c>
      <c r="B42" s="13" t="inlineStr">
        <is>
          <t>specialist_assessment</t>
        </is>
      </c>
      <c r="C42" s="42">
        <f>INDEX(C$5:C$12,MATCH($B42,$B$5:$B$12,0))</f>
        <v/>
      </c>
      <c r="D42" s="42">
        <f>INDEX(D$5:D$12,MATCH($B42,$B$5:$B$12,0))</f>
        <v/>
      </c>
      <c r="E42" s="42">
        <f>INDEX(E$5:E$12,MATCH($B42,$B$5:$B$12,0))</f>
        <v/>
      </c>
      <c r="F42" s="42">
        <f>INDEX(F$5:F$12,MATCH($B42,$B$5:$B$12,0))</f>
        <v/>
      </c>
      <c r="G42" s="42">
        <f>INDEX(G$5:G$12,MATCH($B42,$B$5:$B$12,0))</f>
        <v/>
      </c>
    </row>
    <row r="43">
      <c r="A43" s="18" t="inlineStr">
        <is>
          <t>D24</t>
        </is>
      </c>
      <c r="B43" s="13" t="inlineStr">
        <is>
          <t>specialist_assessment</t>
        </is>
      </c>
      <c r="C43" s="42">
        <f>INDEX(C$5:C$12,MATCH($B43,$B$5:$B$12,0))</f>
        <v/>
      </c>
      <c r="D43" s="42">
        <f>INDEX(D$5:D$12,MATCH($B43,$B$5:$B$12,0))</f>
        <v/>
      </c>
      <c r="E43" s="42">
        <f>INDEX(E$5:E$12,MATCH($B43,$B$5:$B$12,0))</f>
        <v/>
      </c>
      <c r="F43" s="42">
        <f>INDEX(F$5:F$12,MATCH($B43,$B$5:$B$12,0))</f>
        <v/>
      </c>
      <c r="G43" s="42">
        <f>INDEX(G$5:G$12,MATCH($B43,$B$5:$B$12,0))</f>
        <v/>
      </c>
    </row>
    <row r="44">
      <c r="A44" s="18" t="inlineStr">
        <is>
          <t>D25</t>
        </is>
      </c>
      <c r="B44" s="13" t="inlineStr">
        <is>
          <t>credit_decision</t>
        </is>
      </c>
      <c r="C44" s="42">
        <f>INDEX(C$5:C$12,MATCH($B44,$B$5:$B$12,0))</f>
        <v/>
      </c>
      <c r="D44" s="42">
        <f>INDEX(D$5:D$12,MATCH($B44,$B$5:$B$12,0))</f>
        <v/>
      </c>
      <c r="E44" s="42">
        <f>INDEX(E$5:E$12,MATCH($B44,$B$5:$B$12,0))</f>
        <v/>
      </c>
      <c r="F44" s="42">
        <f>INDEX(F$5:F$12,MATCH($B44,$B$5:$B$12,0))</f>
        <v/>
      </c>
      <c r="G44" s="42">
        <f>INDEX(G$5:G$12,MATCH($B44,$B$5:$B$12,0))</f>
        <v/>
      </c>
    </row>
    <row r="45">
      <c r="A45" s="18" t="inlineStr">
        <is>
          <t>D26</t>
        </is>
      </c>
      <c r="B45" s="13" t="inlineStr">
        <is>
          <t>multiple</t>
        </is>
      </c>
      <c r="C45" s="42">
        <f>INDEX(C$5:C$12,MATCH($B45,$B$5:$B$12,0))</f>
        <v/>
      </c>
      <c r="D45" s="42">
        <f>INDEX(D$5:D$12,MATCH($B45,$B$5:$B$12,0))</f>
        <v/>
      </c>
      <c r="E45" s="42">
        <f>INDEX(E$5:E$12,MATCH($B45,$B$5:$B$12,0))</f>
        <v/>
      </c>
      <c r="F45" s="42">
        <f>INDEX(F$5:F$12,MATCH($B45,$B$5:$B$12,0))</f>
        <v/>
      </c>
      <c r="G45" s="42">
        <f>INDEX(G$5:G$12,MATCH($B45,$B$5:$B$12,0))</f>
        <v/>
      </c>
    </row>
    <row r="46">
      <c r="A46" s="18" t="inlineStr">
        <is>
          <t>D27</t>
        </is>
      </c>
      <c r="B46" s="13" t="inlineStr">
        <is>
          <t>kfs_acceptance</t>
        </is>
      </c>
      <c r="C46" s="42">
        <f>INDEX(C$5:C$12,MATCH($B46,$B$5:$B$12,0))</f>
        <v/>
      </c>
      <c r="D46" s="42">
        <f>INDEX(D$5:D$12,MATCH($B46,$B$5:$B$12,0))</f>
        <v/>
      </c>
      <c r="E46" s="42">
        <f>INDEX(E$5:E$12,MATCH($B46,$B$5:$B$12,0))</f>
        <v/>
      </c>
      <c r="F46" s="42">
        <f>INDEX(F$5:F$12,MATCH($B46,$B$5:$B$12,0))</f>
        <v/>
      </c>
      <c r="G46" s="42">
        <f>INDEX(G$5:G$12,MATCH($B46,$B$5:$B$12,0))</f>
        <v/>
      </c>
    </row>
    <row r="47">
      <c r="A47" s="18" t="inlineStr">
        <is>
          <t>D28</t>
        </is>
      </c>
      <c r="B47" s="13" t="inlineStr">
        <is>
          <t>contracting</t>
        </is>
      </c>
      <c r="C47" s="42">
        <f>INDEX(C$5:C$12,MATCH($B47,$B$5:$B$12,0))</f>
        <v/>
      </c>
      <c r="D47" s="42">
        <f>INDEX(D$5:D$12,MATCH($B47,$B$5:$B$12,0))</f>
        <v/>
      </c>
      <c r="E47" s="42">
        <f>INDEX(E$5:E$12,MATCH($B47,$B$5:$B$12,0))</f>
        <v/>
      </c>
      <c r="F47" s="42">
        <f>INDEX(F$5:F$12,MATCH($B47,$B$5:$B$12,0))</f>
        <v/>
      </c>
      <c r="G47" s="42">
        <f>INDEX(G$5:G$12,MATCH($B47,$B$5:$B$12,0))</f>
        <v/>
      </c>
    </row>
    <row r="48">
      <c r="A48" s="18" t="inlineStr">
        <is>
          <t>D29</t>
        </is>
      </c>
      <c r="B48" s="13" t="inlineStr">
        <is>
          <t>contracting</t>
        </is>
      </c>
      <c r="C48" s="42">
        <f>INDEX(C$5:C$12,MATCH($B48,$B$5:$B$12,0))</f>
        <v/>
      </c>
      <c r="D48" s="42">
        <f>INDEX(D$5:D$12,MATCH($B48,$B$5:$B$12,0))</f>
        <v/>
      </c>
      <c r="E48" s="42">
        <f>INDEX(E$5:E$12,MATCH($B48,$B$5:$B$12,0))</f>
        <v/>
      </c>
      <c r="F48" s="42">
        <f>INDEX(F$5:F$12,MATCH($B48,$B$5:$B$12,0))</f>
        <v/>
      </c>
      <c r="G48" s="42">
        <f>INDEX(G$5:G$12,MATCH($B48,$B$5:$B$12,0))</f>
        <v/>
      </c>
    </row>
    <row r="49">
      <c r="A49" s="18" t="inlineStr">
        <is>
          <t>D30</t>
        </is>
      </c>
      <c r="B49" s="13" t="inlineStr">
        <is>
          <t>contracting</t>
        </is>
      </c>
      <c r="C49" s="42">
        <f>INDEX(C$5:C$12,MATCH($B49,$B$5:$B$12,0))</f>
        <v/>
      </c>
      <c r="D49" s="42">
        <f>INDEX(D$5:D$12,MATCH($B49,$B$5:$B$12,0))</f>
        <v/>
      </c>
      <c r="E49" s="42">
        <f>INDEX(E$5:E$12,MATCH($B49,$B$5:$B$12,0))</f>
        <v/>
      </c>
      <c r="F49" s="42">
        <f>INDEX(F$5:F$12,MATCH($B49,$B$5:$B$12,0))</f>
        <v/>
      </c>
      <c r="G49" s="42">
        <f>INDEX(G$5:G$12,MATCH($B49,$B$5:$B$12,0))</f>
        <v/>
      </c>
    </row>
    <row r="50">
      <c r="A50" s="18" t="inlineStr">
        <is>
          <t>D31</t>
        </is>
      </c>
      <c r="B50" s="13" t="inlineStr">
        <is>
          <t>contracting</t>
        </is>
      </c>
      <c r="C50" s="42">
        <f>INDEX(C$5:C$12,MATCH($B50,$B$5:$B$12,0))</f>
        <v/>
      </c>
      <c r="D50" s="42">
        <f>INDEX(D$5:D$12,MATCH($B50,$B$5:$B$12,0))</f>
        <v/>
      </c>
      <c r="E50" s="42">
        <f>INDEX(E$5:E$12,MATCH($B50,$B$5:$B$12,0))</f>
        <v/>
      </c>
      <c r="F50" s="42">
        <f>INDEX(F$5:F$12,MATCH($B50,$B$5:$B$12,0))</f>
        <v/>
      </c>
      <c r="G50" s="42">
        <f>INDEX(G$5:G$12,MATCH($B50,$B$5:$B$12,0))</f>
        <v/>
      </c>
    </row>
    <row r="51">
      <c r="A51" s="18" t="inlineStr">
        <is>
          <t>D32</t>
        </is>
      </c>
      <c r="B51" s="13" t="inlineStr">
        <is>
          <t>disbursement</t>
        </is>
      </c>
      <c r="C51" s="42">
        <f>INDEX(C$5:C$12,MATCH($B51,$B$5:$B$12,0))</f>
        <v/>
      </c>
      <c r="D51" s="42">
        <f>INDEX(D$5:D$12,MATCH($B51,$B$5:$B$12,0))</f>
        <v/>
      </c>
      <c r="E51" s="42">
        <f>INDEX(E$5:E$12,MATCH($B51,$B$5:$B$12,0))</f>
        <v/>
      </c>
      <c r="F51" s="42">
        <f>INDEX(F$5:F$12,MATCH($B51,$B$5:$B$12,0))</f>
        <v/>
      </c>
      <c r="G51" s="42">
        <f>INDEX(G$5:G$12,MATCH($B51,$B$5:$B$12,0))</f>
        <v/>
      </c>
    </row>
    <row r="52">
      <c r="A52" s="18" t="inlineStr">
        <is>
          <t>D33</t>
        </is>
      </c>
      <c r="B52" s="13" t="inlineStr">
        <is>
          <t>disbursement</t>
        </is>
      </c>
      <c r="C52" s="42">
        <f>INDEX(C$5:C$12,MATCH($B52,$B$5:$B$12,0))</f>
        <v/>
      </c>
      <c r="D52" s="42">
        <f>INDEX(D$5:D$12,MATCH($B52,$B$5:$B$12,0))</f>
        <v/>
      </c>
      <c r="E52" s="42">
        <f>INDEX(E$5:E$12,MATCH($B52,$B$5:$B$12,0))</f>
        <v/>
      </c>
      <c r="F52" s="42">
        <f>INDEX(F$5:F$12,MATCH($B52,$B$5:$B$12,0))</f>
        <v/>
      </c>
      <c r="G52" s="42">
        <f>INDEX(G$5:G$12,MATCH($B52,$B$5:$B$12,0))</f>
        <v/>
      </c>
    </row>
    <row r="53">
      <c r="A53" s="18" t="inlineStr">
        <is>
          <t>D34</t>
        </is>
      </c>
      <c r="B53" s="13" t="inlineStr">
        <is>
          <t>disbursement</t>
        </is>
      </c>
      <c r="C53" s="42">
        <f>INDEX(C$5:C$12,MATCH($B53,$B$5:$B$12,0))</f>
        <v/>
      </c>
      <c r="D53" s="42">
        <f>INDEX(D$5:D$12,MATCH($B53,$B$5:$B$12,0))</f>
        <v/>
      </c>
      <c r="E53" s="42">
        <f>INDEX(E$5:E$12,MATCH($B53,$B$5:$B$12,0))</f>
        <v/>
      </c>
      <c r="F53" s="42">
        <f>INDEX(F$5:F$12,MATCH($B53,$B$5:$B$12,0))</f>
        <v/>
      </c>
      <c r="G53" s="42">
        <f>INDEX(G$5:G$12,MATCH($B53,$B$5:$B$12,0))</f>
        <v/>
      </c>
    </row>
    <row r="54">
      <c r="A54" s="18" t="inlineStr">
        <is>
          <t>D35</t>
        </is>
      </c>
      <c r="B54" s="13" t="inlineStr">
        <is>
          <t>disbursement</t>
        </is>
      </c>
      <c r="C54" s="42">
        <f>INDEX(C$5:C$12,MATCH($B54,$B$5:$B$12,0))</f>
        <v/>
      </c>
      <c r="D54" s="42">
        <f>INDEX(D$5:D$12,MATCH($B54,$B$5:$B$12,0))</f>
        <v/>
      </c>
      <c r="E54" s="42">
        <f>INDEX(E$5:E$12,MATCH($B54,$B$5:$B$12,0))</f>
        <v/>
      </c>
      <c r="F54" s="42">
        <f>INDEX(F$5:F$12,MATCH($B54,$B$5:$B$12,0))</f>
        <v/>
      </c>
      <c r="G54" s="42">
        <f>INDEX(G$5:G$12,MATCH($B54,$B$5:$B$12,0))</f>
        <v/>
      </c>
    </row>
    <row r="55">
      <c r="A55" s="18" t="inlineStr">
        <is>
          <t>D36</t>
        </is>
      </c>
      <c r="B55" s="13" t="inlineStr">
        <is>
          <t>application_capture</t>
        </is>
      </c>
      <c r="C55" s="42">
        <f>INDEX(C$5:C$12,MATCH($B55,$B$5:$B$12,0))</f>
        <v/>
      </c>
      <c r="D55" s="42">
        <f>INDEX(D$5:D$12,MATCH($B55,$B$5:$B$12,0))</f>
        <v/>
      </c>
      <c r="E55" s="42">
        <f>INDEX(E$5:E$12,MATCH($B55,$B$5:$B$12,0))</f>
        <v/>
      </c>
      <c r="F55" s="42">
        <f>INDEX(F$5:F$12,MATCH($B55,$B$5:$B$12,0))</f>
        <v/>
      </c>
      <c r="G55" s="42">
        <f>INDEX(G$5:G$12,MATCH($B55,$B$5:$B$12,0))</f>
        <v/>
      </c>
    </row>
    <row r="56">
      <c r="A56" s="18" t="inlineStr">
        <is>
          <t>D37</t>
        </is>
      </c>
      <c r="B56" s="13" t="inlineStr">
        <is>
          <t>specialist_assessment</t>
        </is>
      </c>
      <c r="C56" s="42">
        <f>INDEX(C$5:C$12,MATCH($B56,$B$5:$B$12,0))</f>
        <v/>
      </c>
      <c r="D56" s="42">
        <f>INDEX(D$5:D$12,MATCH($B56,$B$5:$B$12,0))</f>
        <v/>
      </c>
      <c r="E56" s="42">
        <f>INDEX(E$5:E$12,MATCH($B56,$B$5:$B$12,0))</f>
        <v/>
      </c>
      <c r="F56" s="42">
        <f>INDEX(F$5:F$12,MATCH($B56,$B$5:$B$12,0))</f>
        <v/>
      </c>
      <c r="G56" s="42">
        <f>INDEX(G$5:G$12,MATCH($B56,$B$5:$B$12,0))</f>
        <v/>
      </c>
    </row>
    <row r="57">
      <c r="A57" s="18" t="inlineStr">
        <is>
          <t>D38</t>
        </is>
      </c>
      <c r="B57" s="13" t="inlineStr">
        <is>
          <t>multiple</t>
        </is>
      </c>
      <c r="C57" s="42">
        <f>INDEX(C$5:C$12,MATCH($B57,$B$5:$B$12,0))</f>
        <v/>
      </c>
      <c r="D57" s="42">
        <f>INDEX(D$5:D$12,MATCH($B57,$B$5:$B$12,0))</f>
        <v/>
      </c>
      <c r="E57" s="42">
        <f>INDEX(E$5:E$12,MATCH($B57,$B$5:$B$12,0))</f>
        <v/>
      </c>
      <c r="F57" s="42">
        <f>INDEX(F$5:F$12,MATCH($B57,$B$5:$B$12,0))</f>
        <v/>
      </c>
      <c r="G57" s="42">
        <f>INDEX(G$5:G$12,MATCH($B57,$B$5:$B$12,0))</f>
        <v/>
      </c>
    </row>
    <row r="61">
      <c r="A61" s="3" t="inlineStr">
        <is>
          <t>Loan lifetime profile — tenor, prepayment and delinquency (EDIT the blue cells)</t>
        </is>
      </c>
      <c r="B61" s="4" t="n"/>
      <c r="C61" s="4" t="n"/>
      <c r="D61" s="4" t="n"/>
      <c r="E61" s="4" t="n"/>
      <c r="F61" s="4" t="n"/>
      <c r="G61" s="4" t="n"/>
      <c r="H61" s="4" t="n"/>
      <c r="I61" s="4" t="n"/>
      <c r="J61" s="4" t="n"/>
      <c r="K61" s="4" t="n"/>
      <c r="L61" s="4" t="n"/>
      <c r="M61" s="4" t="n"/>
      <c r="N61" s="4" t="n"/>
      <c r="O61" s="4" t="n"/>
      <c r="P61" s="4" t="n"/>
      <c r="Q61" s="4" t="n"/>
      <c r="R61" s="4" t="n"/>
      <c r="S61" s="4" t="n"/>
      <c r="T61" s="4" t="n"/>
    </row>
    <row r="62" ht="32" customHeight="1">
      <c r="A62" s="11" t="inlineStr">
        <is>
          <t>Journey</t>
        </is>
      </c>
      <c r="B62" s="11" t="inlineStr">
        <is>
          <t>Archetype</t>
        </is>
      </c>
      <c r="C62" s="11" t="inlineStr">
        <is>
          <t>Tenor (months)</t>
        </is>
      </c>
      <c r="D62" s="11" t="inlineStr">
        <is>
          <t>Life factor</t>
        </is>
      </c>
      <c r="E62" s="11" t="inlineStr">
        <is>
          <t>Effective life (months)</t>
        </is>
      </c>
      <c r="F62" s="11" t="inlineStr">
        <is>
          <t>Effective life (years)</t>
        </is>
      </c>
      <c r="G62" s="11" t="inlineStr">
        <is>
          <t>EMI per year</t>
        </is>
      </c>
      <c r="H62" s="11" t="inlineStr">
        <is>
          <t>EMI count</t>
        </is>
      </c>
      <c r="I62" s="11" t="inlineStr">
        <is>
          <t>Bounce rate</t>
        </is>
      </c>
      <c r="J62" s="11" t="inlineStr">
        <is>
          <t>Bounced EMIs</t>
        </is>
      </c>
      <c r="K62" s="11" t="inlineStr">
        <is>
          <t>DPD 1-30</t>
        </is>
      </c>
      <c r="L62" s="11" t="inlineStr">
        <is>
          <t>DPD 31-90</t>
        </is>
      </c>
      <c r="M62" s="11" t="inlineStr">
        <is>
          <t>DPD 90+</t>
        </is>
      </c>
      <c r="N62" s="11" t="inlineStr">
        <is>
          <t>Delinq months 1-30</t>
        </is>
      </c>
      <c r="O62" s="11" t="inlineStr">
        <is>
          <t>Delinq months 31-90</t>
        </is>
      </c>
      <c r="P62" s="11" t="inlineStr">
        <is>
          <t>Delinq months 90+</t>
        </is>
      </c>
      <c r="Q62" s="11" t="inlineStr">
        <is>
          <t>per_loan_month</t>
        </is>
      </c>
      <c r="R62" s="11" t="inlineStr">
        <is>
          <t>per_emi</t>
        </is>
      </c>
      <c r="S62" s="11" t="inlineStr">
        <is>
          <t>per_bounced_emi</t>
        </is>
      </c>
      <c r="T62" s="11" t="inlineStr">
        <is>
          <t>per_loan_year</t>
        </is>
      </c>
      <c r="U62" s="11" t="inlineStr">
        <is>
          <t>per_closure</t>
        </is>
      </c>
    </row>
    <row r="63">
      <c r="A63" s="38" t="inlineStr">
        <is>
          <t>personal_loan</t>
        </is>
      </c>
      <c r="B63" s="13" t="inlineStr">
        <is>
          <t>unsecured_term</t>
        </is>
      </c>
      <c r="C63" s="8" t="n">
        <v>36</v>
      </c>
      <c r="D63" s="9" t="n">
        <v>0.85</v>
      </c>
      <c r="E63" s="41">
        <f>C63*D63</f>
        <v/>
      </c>
      <c r="F63" s="41">
        <f>E63/12</f>
        <v/>
      </c>
      <c r="G63" s="8" t="n">
        <v>12</v>
      </c>
      <c r="H63" s="41">
        <f>F63*G63</f>
        <v/>
      </c>
      <c r="I63" s="9" t="n">
        <v>0.055</v>
      </c>
      <c r="J63" s="41">
        <f>H63*I63</f>
        <v/>
      </c>
      <c r="K63" s="9" t="n">
        <v>0.04</v>
      </c>
      <c r="L63" s="9" t="n">
        <v>0.015</v>
      </c>
      <c r="M63" s="9" t="n">
        <v>0.025</v>
      </c>
      <c r="N63" s="43">
        <f>$E63*K63</f>
        <v/>
      </c>
      <c r="O63" s="43">
        <f>$E63*L63</f>
        <v/>
      </c>
      <c r="P63" s="43">
        <f>$E63*M63</f>
        <v/>
      </c>
      <c r="Q63" s="37">
        <f>E63</f>
        <v/>
      </c>
      <c r="R63" s="37">
        <f>H63</f>
        <v/>
      </c>
      <c r="S63" s="37">
        <f>J63</f>
        <v/>
      </c>
      <c r="T63" s="37">
        <f>F63</f>
        <v/>
      </c>
      <c r="U63" s="44" t="n">
        <v>1</v>
      </c>
    </row>
    <row r="64">
      <c r="A64" s="38" t="inlineStr">
        <is>
          <t>co_lending_programme</t>
        </is>
      </c>
      <c r="B64" s="13" t="inlineStr">
        <is>
          <t>co_lending</t>
        </is>
      </c>
      <c r="C64" s="8" t="n">
        <v>36</v>
      </c>
      <c r="D64" s="9" t="n">
        <v>0.85</v>
      </c>
      <c r="E64" s="41">
        <f>C64*D64</f>
        <v/>
      </c>
      <c r="F64" s="41">
        <f>E64/12</f>
        <v/>
      </c>
      <c r="G64" s="8" t="n">
        <v>12</v>
      </c>
      <c r="H64" s="41">
        <f>F64*G64</f>
        <v/>
      </c>
      <c r="I64" s="9" t="n">
        <v>0.055</v>
      </c>
      <c r="J64" s="41">
        <f>H64*I64</f>
        <v/>
      </c>
      <c r="K64" s="9" t="n">
        <v>0.042</v>
      </c>
      <c r="L64" s="9" t="n">
        <v>0.016</v>
      </c>
      <c r="M64" s="9" t="n">
        <v>0.026</v>
      </c>
      <c r="N64" s="43">
        <f>$E64*K64</f>
        <v/>
      </c>
      <c r="O64" s="43">
        <f>$E64*L64</f>
        <v/>
      </c>
      <c r="P64" s="43">
        <f>$E64*M64</f>
        <v/>
      </c>
      <c r="Q64" s="37">
        <f>E64</f>
        <v/>
      </c>
      <c r="R64" s="37">
        <f>H64</f>
        <v/>
      </c>
      <c r="S64" s="37">
        <f>J64</f>
        <v/>
      </c>
      <c r="T64" s="37">
        <f>F64</f>
        <v/>
      </c>
      <c r="U64" s="44" t="n">
        <v>1</v>
      </c>
    </row>
    <row r="65">
      <c r="A65" s="38" t="inlineStr">
        <is>
          <t>msme_working_capital</t>
        </is>
      </c>
      <c r="B65" s="13" t="inlineStr">
        <is>
          <t>revolving_working_capital</t>
        </is>
      </c>
      <c r="C65" s="8" t="n">
        <v>12</v>
      </c>
      <c r="D65" s="9" t="n">
        <v>1</v>
      </c>
      <c r="E65" s="41">
        <f>C65*D65</f>
        <v/>
      </c>
      <c r="F65" s="41">
        <f>E65/12</f>
        <v/>
      </c>
      <c r="G65" s="8" t="n">
        <v>12</v>
      </c>
      <c r="H65" s="41">
        <f>F65*G65</f>
        <v/>
      </c>
      <c r="I65" s="9" t="n">
        <v>0.06</v>
      </c>
      <c r="J65" s="41">
        <f>H65*I65</f>
        <v/>
      </c>
      <c r="K65" s="9" t="n">
        <v>0.05</v>
      </c>
      <c r="L65" s="9" t="n">
        <v>0.02</v>
      </c>
      <c r="M65" s="9" t="n">
        <v>0.03</v>
      </c>
      <c r="N65" s="43">
        <f>$E65*K65</f>
        <v/>
      </c>
      <c r="O65" s="43">
        <f>$E65*L65</f>
        <v/>
      </c>
      <c r="P65" s="43">
        <f>$E65*M65</f>
        <v/>
      </c>
      <c r="Q65" s="37">
        <f>E65</f>
        <v/>
      </c>
      <c r="R65" s="37">
        <f>H65</f>
        <v/>
      </c>
      <c r="S65" s="37">
        <f>J65</f>
        <v/>
      </c>
      <c r="T65" s="37">
        <f>F65</f>
        <v/>
      </c>
      <c r="U65" s="44" t="n">
        <v>1</v>
      </c>
    </row>
    <row r="66">
      <c r="A66" s="38" t="inlineStr">
        <is>
          <t>msme_term_loan</t>
        </is>
      </c>
      <c r="B66" s="13" t="inlineStr">
        <is>
          <t>business_term</t>
        </is>
      </c>
      <c r="C66" s="8" t="n">
        <v>48</v>
      </c>
      <c r="D66" s="9" t="n">
        <v>0.8</v>
      </c>
      <c r="E66" s="41">
        <f>C66*D66</f>
        <v/>
      </c>
      <c r="F66" s="41">
        <f>E66/12</f>
        <v/>
      </c>
      <c r="G66" s="8" t="n">
        <v>12</v>
      </c>
      <c r="H66" s="41">
        <f>F66*G66</f>
        <v/>
      </c>
      <c r="I66" s="9" t="n">
        <v>0.06</v>
      </c>
      <c r="J66" s="41">
        <f>H66*I66</f>
        <v/>
      </c>
      <c r="K66" s="9" t="n">
        <v>0.05</v>
      </c>
      <c r="L66" s="9" t="n">
        <v>0.02</v>
      </c>
      <c r="M66" s="9" t="n">
        <v>0.03</v>
      </c>
      <c r="N66" s="43">
        <f>$E66*K66</f>
        <v/>
      </c>
      <c r="O66" s="43">
        <f>$E66*L66</f>
        <v/>
      </c>
      <c r="P66" s="43">
        <f>$E66*M66</f>
        <v/>
      </c>
      <c r="Q66" s="37">
        <f>E66</f>
        <v/>
      </c>
      <c r="R66" s="37">
        <f>H66</f>
        <v/>
      </c>
      <c r="S66" s="37">
        <f>J66</f>
        <v/>
      </c>
      <c r="T66" s="37">
        <f>F66</f>
        <v/>
      </c>
      <c r="U66" s="44" t="n">
        <v>1</v>
      </c>
    </row>
    <row r="67">
      <c r="A67" s="38" t="inlineStr">
        <is>
          <t>professional_practice_loan</t>
        </is>
      </c>
      <c r="B67" s="13" t="inlineStr">
        <is>
          <t>business_term</t>
        </is>
      </c>
      <c r="C67" s="8" t="n">
        <v>60</v>
      </c>
      <c r="D67" s="9" t="n">
        <v>0.75</v>
      </c>
      <c r="E67" s="41">
        <f>C67*D67</f>
        <v/>
      </c>
      <c r="F67" s="41">
        <f>E67/12</f>
        <v/>
      </c>
      <c r="G67" s="8" t="n">
        <v>12</v>
      </c>
      <c r="H67" s="41">
        <f>F67*G67</f>
        <v/>
      </c>
      <c r="I67" s="9" t="n">
        <v>0.04</v>
      </c>
      <c r="J67" s="41">
        <f>H67*I67</f>
        <v/>
      </c>
      <c r="K67" s="9" t="n">
        <v>0.03</v>
      </c>
      <c r="L67" s="9" t="n">
        <v>0.012</v>
      </c>
      <c r="M67" s="9" t="n">
        <v>0.018</v>
      </c>
      <c r="N67" s="43">
        <f>$E67*K67</f>
        <v/>
      </c>
      <c r="O67" s="43">
        <f>$E67*L67</f>
        <v/>
      </c>
      <c r="P67" s="43">
        <f>$E67*M67</f>
        <v/>
      </c>
      <c r="Q67" s="37">
        <f>E67</f>
        <v/>
      </c>
      <c r="R67" s="37">
        <f>H67</f>
        <v/>
      </c>
      <c r="S67" s="37">
        <f>J67</f>
        <v/>
      </c>
      <c r="T67" s="37">
        <f>F67</f>
        <v/>
      </c>
      <c r="U67" s="44" t="n">
        <v>1</v>
      </c>
    </row>
    <row r="68">
      <c r="A68" s="38" t="inlineStr">
        <is>
          <t>secured_business_loan</t>
        </is>
      </c>
      <c r="B68" s="13" t="inlineStr">
        <is>
          <t>property_secured</t>
        </is>
      </c>
      <c r="C68" s="8" t="n">
        <v>120</v>
      </c>
      <c r="D68" s="9" t="n">
        <v>0.55</v>
      </c>
      <c r="E68" s="41">
        <f>C68*D68</f>
        <v/>
      </c>
      <c r="F68" s="41">
        <f>E68/12</f>
        <v/>
      </c>
      <c r="G68" s="8" t="n">
        <v>12</v>
      </c>
      <c r="H68" s="41">
        <f>F68*G68</f>
        <v/>
      </c>
      <c r="I68" s="9" t="n">
        <v>0.045</v>
      </c>
      <c r="J68" s="41">
        <f>H68*I68</f>
        <v/>
      </c>
      <c r="K68" s="9" t="n">
        <v>0.035</v>
      </c>
      <c r="L68" s="9" t="n">
        <v>0.014</v>
      </c>
      <c r="M68" s="9" t="n">
        <v>0.022</v>
      </c>
      <c r="N68" s="43">
        <f>$E68*K68</f>
        <v/>
      </c>
      <c r="O68" s="43">
        <f>$E68*L68</f>
        <v/>
      </c>
      <c r="P68" s="43">
        <f>$E68*M68</f>
        <v/>
      </c>
      <c r="Q68" s="37">
        <f>E68</f>
        <v/>
      </c>
      <c r="R68" s="37">
        <f>H68</f>
        <v/>
      </c>
      <c r="S68" s="37">
        <f>J68</f>
        <v/>
      </c>
      <c r="T68" s="37">
        <f>F68</f>
        <v/>
      </c>
      <c r="U68" s="44" t="n">
        <v>1</v>
      </c>
    </row>
    <row r="69">
      <c r="A69" s="38" t="inlineStr">
        <is>
          <t>loan_against_property</t>
        </is>
      </c>
      <c r="B69" s="13" t="inlineStr">
        <is>
          <t>property_secured</t>
        </is>
      </c>
      <c r="C69" s="8" t="n">
        <v>144</v>
      </c>
      <c r="D69" s="9" t="n">
        <v>0.5</v>
      </c>
      <c r="E69" s="41">
        <f>C69*D69</f>
        <v/>
      </c>
      <c r="F69" s="41">
        <f>E69/12</f>
        <v/>
      </c>
      <c r="G69" s="8" t="n">
        <v>12</v>
      </c>
      <c r="H69" s="41">
        <f>F69*G69</f>
        <v/>
      </c>
      <c r="I69" s="9" t="n">
        <v>0.04</v>
      </c>
      <c r="J69" s="41">
        <f>H69*I69</f>
        <v/>
      </c>
      <c r="K69" s="9" t="n">
        <v>0.03</v>
      </c>
      <c r="L69" s="9" t="n">
        <v>0.012</v>
      </c>
      <c r="M69" s="9" t="n">
        <v>0.02</v>
      </c>
      <c r="N69" s="43">
        <f>$E69*K69</f>
        <v/>
      </c>
      <c r="O69" s="43">
        <f>$E69*L69</f>
        <v/>
      </c>
      <c r="P69" s="43">
        <f>$E69*M69</f>
        <v/>
      </c>
      <c r="Q69" s="37">
        <f>E69</f>
        <v/>
      </c>
      <c r="R69" s="37">
        <f>H69</f>
        <v/>
      </c>
      <c r="S69" s="37">
        <f>J69</f>
        <v/>
      </c>
      <c r="T69" s="37">
        <f>F69</f>
        <v/>
      </c>
      <c r="U69" s="44" t="n">
        <v>1</v>
      </c>
    </row>
    <row r="70">
      <c r="A70" s="38" t="inlineStr">
        <is>
          <t>home_loan</t>
        </is>
      </c>
      <c r="B70" s="13" t="inlineStr">
        <is>
          <t>property_secured</t>
        </is>
      </c>
      <c r="C70" s="8" t="n">
        <v>240</v>
      </c>
      <c r="D70" s="9" t="n">
        <v>0.45</v>
      </c>
      <c r="E70" s="41">
        <f>C70*D70</f>
        <v/>
      </c>
      <c r="F70" s="41">
        <f>E70/12</f>
        <v/>
      </c>
      <c r="G70" s="8" t="n">
        <v>12</v>
      </c>
      <c r="H70" s="41">
        <f>F70*G70</f>
        <v/>
      </c>
      <c r="I70" s="9" t="n">
        <v>0.02</v>
      </c>
      <c r="J70" s="41">
        <f>H70*I70</f>
        <v/>
      </c>
      <c r="K70" s="9" t="n">
        <v>0.015</v>
      </c>
      <c r="L70" s="9" t="n">
        <v>0.005</v>
      </c>
      <c r="M70" s="9" t="n">
        <v>0.008</v>
      </c>
      <c r="N70" s="43">
        <f>$E70*K70</f>
        <v/>
      </c>
      <c r="O70" s="43">
        <f>$E70*L70</f>
        <v/>
      </c>
      <c r="P70" s="43">
        <f>$E70*M70</f>
        <v/>
      </c>
      <c r="Q70" s="37">
        <f>E70</f>
        <v/>
      </c>
      <c r="R70" s="37">
        <f>H70</f>
        <v/>
      </c>
      <c r="S70" s="37">
        <f>J70</f>
        <v/>
      </c>
      <c r="T70" s="37">
        <f>F70</f>
        <v/>
      </c>
      <c r="U70" s="44" t="n">
        <v>1</v>
      </c>
    </row>
    <row r="71">
      <c r="A71" s="38" t="inlineStr">
        <is>
          <t>equipment_machinery_finance</t>
        </is>
      </c>
      <c r="B71" s="13" t="inlineStr">
        <is>
          <t>asset_finance</t>
        </is>
      </c>
      <c r="C71" s="8" t="n">
        <v>60</v>
      </c>
      <c r="D71" s="9" t="n">
        <v>0.75</v>
      </c>
      <c r="E71" s="41">
        <f>C71*D71</f>
        <v/>
      </c>
      <c r="F71" s="41">
        <f>E71/12</f>
        <v/>
      </c>
      <c r="G71" s="8" t="n">
        <v>12</v>
      </c>
      <c r="H71" s="41">
        <f>F71*G71</f>
        <v/>
      </c>
      <c r="I71" s="9" t="n">
        <v>0.055</v>
      </c>
      <c r="J71" s="41">
        <f>H71*I71</f>
        <v/>
      </c>
      <c r="K71" s="9" t="n">
        <v>0.045</v>
      </c>
      <c r="L71" s="9" t="n">
        <v>0.018</v>
      </c>
      <c r="M71" s="9" t="n">
        <v>0.028</v>
      </c>
      <c r="N71" s="43">
        <f>$E71*K71</f>
        <v/>
      </c>
      <c r="O71" s="43">
        <f>$E71*L71</f>
        <v/>
      </c>
      <c r="P71" s="43">
        <f>$E71*M71</f>
        <v/>
      </c>
      <c r="Q71" s="37">
        <f>E71</f>
        <v/>
      </c>
      <c r="R71" s="37">
        <f>H71</f>
        <v/>
      </c>
      <c r="S71" s="37">
        <f>J71</f>
        <v/>
      </c>
      <c r="T71" s="37">
        <f>F71</f>
        <v/>
      </c>
      <c r="U71" s="44" t="n">
        <v>1</v>
      </c>
    </row>
    <row r="72">
      <c r="A72" s="38" t="inlineStr">
        <is>
          <t>green_equipment_finance</t>
        </is>
      </c>
      <c r="B72" s="13" t="inlineStr">
        <is>
          <t>asset_finance</t>
        </is>
      </c>
      <c r="C72" s="8" t="n">
        <v>60</v>
      </c>
      <c r="D72" s="9" t="n">
        <v>0.75</v>
      </c>
      <c r="E72" s="41">
        <f>C72*D72</f>
        <v/>
      </c>
      <c r="F72" s="41">
        <f>E72/12</f>
        <v/>
      </c>
      <c r="G72" s="8" t="n">
        <v>12</v>
      </c>
      <c r="H72" s="41">
        <f>F72*G72</f>
        <v/>
      </c>
      <c r="I72" s="9" t="n">
        <v>0.05</v>
      </c>
      <c r="J72" s="41">
        <f>H72*I72</f>
        <v/>
      </c>
      <c r="K72" s="9" t="n">
        <v>0.04</v>
      </c>
      <c r="L72" s="9" t="n">
        <v>0.016</v>
      </c>
      <c r="M72" s="9" t="n">
        <v>0.024</v>
      </c>
      <c r="N72" s="43">
        <f>$E72*K72</f>
        <v/>
      </c>
      <c r="O72" s="43">
        <f>$E72*L72</f>
        <v/>
      </c>
      <c r="P72" s="43">
        <f>$E72*M72</f>
        <v/>
      </c>
      <c r="Q72" s="37">
        <f>E72</f>
        <v/>
      </c>
      <c r="R72" s="37">
        <f>H72</f>
        <v/>
      </c>
      <c r="S72" s="37">
        <f>J72</f>
        <v/>
      </c>
      <c r="T72" s="37">
        <f>F72</f>
        <v/>
      </c>
      <c r="U72" s="44" t="n">
        <v>1</v>
      </c>
    </row>
    <row r="73">
      <c r="A73" s="38" t="inlineStr">
        <is>
          <t>personal_vehicle_loan</t>
        </is>
      </c>
      <c r="B73" s="13" t="inlineStr">
        <is>
          <t>asset_finance</t>
        </is>
      </c>
      <c r="C73" s="8" t="n">
        <v>60</v>
      </c>
      <c r="D73" s="9" t="n">
        <v>0.7</v>
      </c>
      <c r="E73" s="41">
        <f>C73*D73</f>
        <v/>
      </c>
      <c r="F73" s="41">
        <f>E73/12</f>
        <v/>
      </c>
      <c r="G73" s="8" t="n">
        <v>12</v>
      </c>
      <c r="H73" s="41">
        <f>F73*G73</f>
        <v/>
      </c>
      <c r="I73" s="9" t="n">
        <v>0.05</v>
      </c>
      <c r="J73" s="41">
        <f>H73*I73</f>
        <v/>
      </c>
      <c r="K73" s="9" t="n">
        <v>0.04</v>
      </c>
      <c r="L73" s="9" t="n">
        <v>0.016</v>
      </c>
      <c r="M73" s="9" t="n">
        <v>0.024</v>
      </c>
      <c r="N73" s="43">
        <f>$E73*K73</f>
        <v/>
      </c>
      <c r="O73" s="43">
        <f>$E73*L73</f>
        <v/>
      </c>
      <c r="P73" s="43">
        <f>$E73*M73</f>
        <v/>
      </c>
      <c r="Q73" s="37">
        <f>E73</f>
        <v/>
      </c>
      <c r="R73" s="37">
        <f>H73</f>
        <v/>
      </c>
      <c r="S73" s="37">
        <f>J73</f>
        <v/>
      </c>
      <c r="T73" s="37">
        <f>F73</f>
        <v/>
      </c>
      <c r="U73" s="44" t="n">
        <v>1</v>
      </c>
    </row>
    <row r="74">
      <c r="A74" s="38" t="inlineStr">
        <is>
          <t>commercial_vehicle_finance</t>
        </is>
      </c>
      <c r="B74" s="13" t="inlineStr">
        <is>
          <t>asset_finance</t>
        </is>
      </c>
      <c r="C74" s="8" t="n">
        <v>48</v>
      </c>
      <c r="D74" s="9" t="n">
        <v>0.75</v>
      </c>
      <c r="E74" s="41">
        <f>C74*D74</f>
        <v/>
      </c>
      <c r="F74" s="41">
        <f>E74/12</f>
        <v/>
      </c>
      <c r="G74" s="8" t="n">
        <v>12</v>
      </c>
      <c r="H74" s="41">
        <f>F74*G74</f>
        <v/>
      </c>
      <c r="I74" s="9" t="n">
        <v>0.08</v>
      </c>
      <c r="J74" s="41">
        <f>H74*I74</f>
        <v/>
      </c>
      <c r="K74" s="9" t="n">
        <v>0.07000000000000001</v>
      </c>
      <c r="L74" s="9" t="n">
        <v>0.03</v>
      </c>
      <c r="M74" s="9" t="n">
        <v>0.04</v>
      </c>
      <c r="N74" s="43">
        <f>$E74*K74</f>
        <v/>
      </c>
      <c r="O74" s="43">
        <f>$E74*L74</f>
        <v/>
      </c>
      <c r="P74" s="43">
        <f>$E74*M74</f>
        <v/>
      </c>
      <c r="Q74" s="37">
        <f>E74</f>
        <v/>
      </c>
      <c r="R74" s="37">
        <f>H74</f>
        <v/>
      </c>
      <c r="S74" s="37">
        <f>J74</f>
        <v/>
      </c>
      <c r="T74" s="37">
        <f>F74</f>
        <v/>
      </c>
      <c r="U74" s="44" t="n">
        <v>1</v>
      </c>
    </row>
    <row r="75">
      <c r="A75" s="38" t="inlineStr">
        <is>
          <t>gold_loan</t>
        </is>
      </c>
      <c r="B75" s="13" t="inlineStr">
        <is>
          <t>gold_custody</t>
        </is>
      </c>
      <c r="C75" s="8" t="n">
        <v>12</v>
      </c>
      <c r="D75" s="9" t="n">
        <v>0.8</v>
      </c>
      <c r="E75" s="41">
        <f>C75*D75</f>
        <v/>
      </c>
      <c r="F75" s="41">
        <f>E75/12</f>
        <v/>
      </c>
      <c r="G75" s="8" t="n">
        <v>4</v>
      </c>
      <c r="H75" s="41">
        <f>F75*G75</f>
        <v/>
      </c>
      <c r="I75" s="9" t="n">
        <v>0.03</v>
      </c>
      <c r="J75" s="41">
        <f>H75*I75</f>
        <v/>
      </c>
      <c r="K75" s="9" t="n">
        <v>0.02</v>
      </c>
      <c r="L75" s="9" t="n">
        <v>0.005</v>
      </c>
      <c r="M75" s="9" t="n">
        <v>0.003</v>
      </c>
      <c r="N75" s="43">
        <f>$E75*K75</f>
        <v/>
      </c>
      <c r="O75" s="43">
        <f>$E75*L75</f>
        <v/>
      </c>
      <c r="P75" s="43">
        <f>$E75*M75</f>
        <v/>
      </c>
      <c r="Q75" s="37">
        <f>E75</f>
        <v/>
      </c>
      <c r="R75" s="37">
        <f>H75</f>
        <v/>
      </c>
      <c r="S75" s="37">
        <f>J75</f>
        <v/>
      </c>
      <c r="T75" s="37">
        <f>F75</f>
        <v/>
      </c>
      <c r="U75" s="44" t="n">
        <v>1</v>
      </c>
    </row>
    <row r="76">
      <c r="A76" s="38" t="inlineStr">
        <is>
          <t>education_loan</t>
        </is>
      </c>
      <c r="B76" s="13" t="inlineStr">
        <is>
          <t>priority_term</t>
        </is>
      </c>
      <c r="C76" s="8" t="n">
        <v>84</v>
      </c>
      <c r="D76" s="9" t="n">
        <v>0.7</v>
      </c>
      <c r="E76" s="41">
        <f>C76*D76</f>
        <v/>
      </c>
      <c r="F76" s="41">
        <f>E76/12</f>
        <v/>
      </c>
      <c r="G76" s="8" t="n">
        <v>12</v>
      </c>
      <c r="H76" s="41">
        <f>F76*G76</f>
        <v/>
      </c>
      <c r="I76" s="9" t="n">
        <v>0.035</v>
      </c>
      <c r="J76" s="41">
        <f>H76*I76</f>
        <v/>
      </c>
      <c r="K76" s="9" t="n">
        <v>0.028</v>
      </c>
      <c r="L76" s="9" t="n">
        <v>0.012</v>
      </c>
      <c r="M76" s="9" t="n">
        <v>0.02</v>
      </c>
      <c r="N76" s="43">
        <f>$E76*K76</f>
        <v/>
      </c>
      <c r="O76" s="43">
        <f>$E76*L76</f>
        <v/>
      </c>
      <c r="P76" s="43">
        <f>$E76*M76</f>
        <v/>
      </c>
      <c r="Q76" s="37">
        <f>E76</f>
        <v/>
      </c>
      <c r="R76" s="37">
        <f>H76</f>
        <v/>
      </c>
      <c r="S76" s="37">
        <f>J76</f>
        <v/>
      </c>
      <c r="T76" s="37">
        <f>F76</f>
        <v/>
      </c>
      <c r="U76" s="44" t="n">
        <v>1</v>
      </c>
    </row>
    <row r="77">
      <c r="A77" s="38" t="inlineStr">
        <is>
          <t>agriculture_allied_finance</t>
        </is>
      </c>
      <c r="B77" s="13" t="inlineStr">
        <is>
          <t>seasonal_field</t>
        </is>
      </c>
      <c r="C77" s="8" t="n">
        <v>12</v>
      </c>
      <c r="D77" s="9" t="n">
        <v>1</v>
      </c>
      <c r="E77" s="41">
        <f>C77*D77</f>
        <v/>
      </c>
      <c r="F77" s="41">
        <f>E77/12</f>
        <v/>
      </c>
      <c r="G77" s="8" t="n">
        <v>2</v>
      </c>
      <c r="H77" s="41">
        <f>F77*G77</f>
        <v/>
      </c>
      <c r="I77" s="9" t="n">
        <v>0.07000000000000001</v>
      </c>
      <c r="J77" s="41">
        <f>H77*I77</f>
        <v/>
      </c>
      <c r="K77" s="9" t="n">
        <v>0.06</v>
      </c>
      <c r="L77" s="9" t="n">
        <v>0.025</v>
      </c>
      <c r="M77" s="9" t="n">
        <v>0.03</v>
      </c>
      <c r="N77" s="43">
        <f>$E77*K77</f>
        <v/>
      </c>
      <c r="O77" s="43">
        <f>$E77*L77</f>
        <v/>
      </c>
      <c r="P77" s="43">
        <f>$E77*M77</f>
        <v/>
      </c>
      <c r="Q77" s="37">
        <f>E77</f>
        <v/>
      </c>
      <c r="R77" s="37">
        <f>H77</f>
        <v/>
      </c>
      <c r="S77" s="37">
        <f>J77</f>
        <v/>
      </c>
      <c r="T77" s="37">
        <f>F77</f>
        <v/>
      </c>
      <c r="U77" s="44" t="n">
        <v>1</v>
      </c>
    </row>
    <row r="78">
      <c r="A78" s="38" t="inlineStr">
        <is>
          <t>microfinance_group_lending</t>
        </is>
      </c>
      <c r="B78" s="13" t="inlineStr">
        <is>
          <t>group_field</t>
        </is>
      </c>
      <c r="C78" s="8" t="n">
        <v>24</v>
      </c>
      <c r="D78" s="9" t="n">
        <v>0.95</v>
      </c>
      <c r="E78" s="41">
        <f>C78*D78</f>
        <v/>
      </c>
      <c r="F78" s="41">
        <f>E78/12</f>
        <v/>
      </c>
      <c r="G78" s="8" t="n">
        <v>12</v>
      </c>
      <c r="H78" s="41">
        <f>F78*G78</f>
        <v/>
      </c>
      <c r="I78" s="9" t="n">
        <v>0.04</v>
      </c>
      <c r="J78" s="41">
        <f>H78*I78</f>
        <v/>
      </c>
      <c r="K78" s="9" t="n">
        <v>0.03</v>
      </c>
      <c r="L78" s="9" t="n">
        <v>0.01</v>
      </c>
      <c r="M78" s="9" t="n">
        <v>0.015</v>
      </c>
      <c r="N78" s="43">
        <f>$E78*K78</f>
        <v/>
      </c>
      <c r="O78" s="43">
        <f>$E78*L78</f>
        <v/>
      </c>
      <c r="P78" s="43">
        <f>$E78*M78</f>
        <v/>
      </c>
      <c r="Q78" s="37">
        <f>E78</f>
        <v/>
      </c>
      <c r="R78" s="37">
        <f>H78</f>
        <v/>
      </c>
      <c r="S78" s="37">
        <f>J78</f>
        <v/>
      </c>
      <c r="T78" s="37">
        <f>F78</f>
        <v/>
      </c>
      <c r="U78" s="44" t="n">
        <v>1</v>
      </c>
    </row>
    <row r="79">
      <c r="A79" s="38" t="inlineStr">
        <is>
          <t>consumer_durable_finance</t>
        </is>
      </c>
      <c r="B79" s="13" t="inlineStr">
        <is>
          <t>merchant_pos</t>
        </is>
      </c>
      <c r="C79" s="8" t="n">
        <v>12</v>
      </c>
      <c r="D79" s="9" t="n">
        <v>0.9</v>
      </c>
      <c r="E79" s="41">
        <f>C79*D79</f>
        <v/>
      </c>
      <c r="F79" s="41">
        <f>E79/12</f>
        <v/>
      </c>
      <c r="G79" s="8" t="n">
        <v>12</v>
      </c>
      <c r="H79" s="41">
        <f>F79*G79</f>
        <v/>
      </c>
      <c r="I79" s="9" t="n">
        <v>0.06</v>
      </c>
      <c r="J79" s="41">
        <f>H79*I79</f>
        <v/>
      </c>
      <c r="K79" s="9" t="n">
        <v>0.05</v>
      </c>
      <c r="L79" s="9" t="n">
        <v>0.02</v>
      </c>
      <c r="M79" s="9" t="n">
        <v>0.025</v>
      </c>
      <c r="N79" s="43">
        <f>$E79*K79</f>
        <v/>
      </c>
      <c r="O79" s="43">
        <f>$E79*L79</f>
        <v/>
      </c>
      <c r="P79" s="43">
        <f>$E79*M79</f>
        <v/>
      </c>
      <c r="Q79" s="37">
        <f>E79</f>
        <v/>
      </c>
      <c r="R79" s="37">
        <f>H79</f>
        <v/>
      </c>
      <c r="S79" s="37">
        <f>J79</f>
        <v/>
      </c>
      <c r="T79" s="37">
        <f>F79</f>
        <v/>
      </c>
      <c r="U79" s="44" t="n">
        <v>1</v>
      </c>
    </row>
    <row r="80">
      <c r="A80" s="38" t="inlineStr">
        <is>
          <t>invoice_discounting</t>
        </is>
      </c>
      <c r="B80" s="13" t="inlineStr">
        <is>
          <t>trade_receivables</t>
        </is>
      </c>
      <c r="C80" s="8" t="n">
        <v>3</v>
      </c>
      <c r="D80" s="9" t="n">
        <v>1</v>
      </c>
      <c r="E80" s="41">
        <f>C80*D80</f>
        <v/>
      </c>
      <c r="F80" s="41">
        <f>E80/12</f>
        <v/>
      </c>
      <c r="G80" s="8" t="n">
        <v>1</v>
      </c>
      <c r="H80" s="41">
        <f>F80*G80</f>
        <v/>
      </c>
      <c r="I80" s="9" t="n">
        <v>0.045</v>
      </c>
      <c r="J80" s="41">
        <f>H80*I80</f>
        <v/>
      </c>
      <c r="K80" s="9" t="n">
        <v>0.035</v>
      </c>
      <c r="L80" s="9" t="n">
        <v>0.015</v>
      </c>
      <c r="M80" s="9" t="n">
        <v>0.02</v>
      </c>
      <c r="N80" s="43">
        <f>$E80*K80</f>
        <v/>
      </c>
      <c r="O80" s="43">
        <f>$E80*L80</f>
        <v/>
      </c>
      <c r="P80" s="43">
        <f>$E80*M80</f>
        <v/>
      </c>
      <c r="Q80" s="37">
        <f>E80</f>
        <v/>
      </c>
      <c r="R80" s="37">
        <f>H80</f>
        <v/>
      </c>
      <c r="S80" s="37">
        <f>J80</f>
        <v/>
      </c>
      <c r="T80" s="37">
        <f>F80</f>
        <v/>
      </c>
      <c r="U80" s="44" t="n">
        <v>1</v>
      </c>
    </row>
    <row r="81">
      <c r="A81" s="38" t="inlineStr">
        <is>
          <t>purchase_order_finance</t>
        </is>
      </c>
      <c r="B81" s="13" t="inlineStr">
        <is>
          <t>trade_receivables</t>
        </is>
      </c>
      <c r="C81" s="8" t="n">
        <v>4</v>
      </c>
      <c r="D81" s="9" t="n">
        <v>1</v>
      </c>
      <c r="E81" s="41">
        <f>C81*D81</f>
        <v/>
      </c>
      <c r="F81" s="41">
        <f>E81/12</f>
        <v/>
      </c>
      <c r="G81" s="8" t="n">
        <v>1</v>
      </c>
      <c r="H81" s="41">
        <f>F81*G81</f>
        <v/>
      </c>
      <c r="I81" s="9" t="n">
        <v>0.05</v>
      </c>
      <c r="J81" s="41">
        <f>H81*I81</f>
        <v/>
      </c>
      <c r="K81" s="9" t="n">
        <v>0.04</v>
      </c>
      <c r="L81" s="9" t="n">
        <v>0.018</v>
      </c>
      <c r="M81" s="9" t="n">
        <v>0.025</v>
      </c>
      <c r="N81" s="43">
        <f>$E81*K81</f>
        <v/>
      </c>
      <c r="O81" s="43">
        <f>$E81*L81</f>
        <v/>
      </c>
      <c r="P81" s="43">
        <f>$E81*M81</f>
        <v/>
      </c>
      <c r="Q81" s="37">
        <f>E81</f>
        <v/>
      </c>
      <c r="R81" s="37">
        <f>H81</f>
        <v/>
      </c>
      <c r="S81" s="37">
        <f>J81</f>
        <v/>
      </c>
      <c r="T81" s="37">
        <f>F81</f>
        <v/>
      </c>
      <c r="U81" s="44" t="n">
        <v>1</v>
      </c>
    </row>
    <row r="82">
      <c r="A82" s="38" t="inlineStr">
        <is>
          <t>supply_chain_finance</t>
        </is>
      </c>
      <c r="B82" s="13" t="inlineStr">
        <is>
          <t>trade_receivables</t>
        </is>
      </c>
      <c r="C82" s="8" t="n">
        <v>3</v>
      </c>
      <c r="D82" s="9" t="n">
        <v>1</v>
      </c>
      <c r="E82" s="41">
        <f>C82*D82</f>
        <v/>
      </c>
      <c r="F82" s="41">
        <f>E82/12</f>
        <v/>
      </c>
      <c r="G82" s="8" t="n">
        <v>1</v>
      </c>
      <c r="H82" s="41">
        <f>F82*G82</f>
        <v/>
      </c>
      <c r="I82" s="9" t="n">
        <v>0.04</v>
      </c>
      <c r="J82" s="41">
        <f>H82*I82</f>
        <v/>
      </c>
      <c r="K82" s="9" t="n">
        <v>0.03</v>
      </c>
      <c r="L82" s="9" t="n">
        <v>0.012</v>
      </c>
      <c r="M82" s="9" t="n">
        <v>0.018</v>
      </c>
      <c r="N82" s="43">
        <f>$E82*K82</f>
        <v/>
      </c>
      <c r="O82" s="43">
        <f>$E82*L82</f>
        <v/>
      </c>
      <c r="P82" s="43">
        <f>$E82*M82</f>
        <v/>
      </c>
      <c r="Q82" s="37">
        <f>E82</f>
        <v/>
      </c>
      <c r="R82" s="37">
        <f>H82</f>
        <v/>
      </c>
      <c r="S82" s="37">
        <f>J82</f>
        <v/>
      </c>
      <c r="T82" s="37">
        <f>F82</f>
        <v/>
      </c>
      <c r="U82" s="44" t="n">
        <v>1</v>
      </c>
    </row>
    <row r="83">
      <c r="A83" s="38" t="inlineStr">
        <is>
          <t>trade_finance_workflow</t>
        </is>
      </c>
      <c r="B83" s="13" t="inlineStr">
        <is>
          <t>trade_receivables</t>
        </is>
      </c>
      <c r="C83" s="8" t="n">
        <v>6</v>
      </c>
      <c r="D83" s="9" t="n">
        <v>1</v>
      </c>
      <c r="E83" s="41">
        <f>C83*D83</f>
        <v/>
      </c>
      <c r="F83" s="41">
        <f>E83/12</f>
        <v/>
      </c>
      <c r="G83" s="8" t="n">
        <v>2</v>
      </c>
      <c r="H83" s="41">
        <f>F83*G83</f>
        <v/>
      </c>
      <c r="I83" s="9" t="n">
        <v>0.045</v>
      </c>
      <c r="J83" s="41">
        <f>H83*I83</f>
        <v/>
      </c>
      <c r="K83" s="9" t="n">
        <v>0.035</v>
      </c>
      <c r="L83" s="9" t="n">
        <v>0.015</v>
      </c>
      <c r="M83" s="9" t="n">
        <v>0.022</v>
      </c>
      <c r="N83" s="43">
        <f>$E83*K83</f>
        <v/>
      </c>
      <c r="O83" s="43">
        <f>$E83*L83</f>
        <v/>
      </c>
      <c r="P83" s="43">
        <f>$E83*M83</f>
        <v/>
      </c>
      <c r="Q83" s="37">
        <f>E83</f>
        <v/>
      </c>
      <c r="R83" s="37">
        <f>H83</f>
        <v/>
      </c>
      <c r="S83" s="37">
        <f>J83</f>
        <v/>
      </c>
      <c r="T83" s="37">
        <f>F83</f>
        <v/>
      </c>
      <c r="U83" s="44" t="n">
        <v>1</v>
      </c>
    </row>
    <row r="85">
      <c r="A85" s="7" t="inlineStr">
        <is>
          <t>Life factor = the share of contractual tenor a loan actually survives, after prepayment and foreclosure. A 240-month home loan that typically closes in year 8-10 has a life factor near 0.45. Servicing cost and servicing revenue both scale with effective life, so this number cuts both ways.</t>
        </is>
      </c>
    </row>
    <row r="88">
      <c r="A88" s="3" t="inlineStr">
        <is>
          <t>Collection attempts per delinquent loan-month, by bucket (EDIT)</t>
        </is>
      </c>
      <c r="B88" s="4" t="n"/>
      <c r="C88" s="4" t="n"/>
      <c r="D88" s="4" t="n"/>
      <c r="E88" s="4" t="n"/>
      <c r="F88" s="4" t="n"/>
      <c r="G88" s="4" t="n"/>
      <c r="H88" s="4" t="n"/>
    </row>
    <row r="89" ht="20" customHeight="1">
      <c r="A89" s="11" t="inlineStr">
        <is>
          <t>Driver ID</t>
        </is>
      </c>
      <c r="B89" s="11" t="inlineStr">
        <is>
          <t>Collections driver</t>
        </is>
      </c>
      <c r="C89" s="11" t="inlineStr">
        <is>
          <t>1-30 DPD</t>
        </is>
      </c>
      <c r="D89" s="11" t="inlineStr">
        <is>
          <t>31-90 DPD</t>
        </is>
      </c>
      <c r="E89" s="11" t="inlineStr">
        <is>
          <t>90+ DPD</t>
        </is>
      </c>
    </row>
    <row r="90">
      <c r="A90" s="27" t="inlineStr">
        <is>
          <t>C01</t>
        </is>
      </c>
      <c r="B90" s="13" t="inlineStr">
        <is>
          <t>Tele-collections (dialer, IVR, agent, recording)</t>
        </is>
      </c>
      <c r="C90" s="45" t="n">
        <v>2.5</v>
      </c>
      <c r="D90" s="45" t="n">
        <v>4</v>
      </c>
      <c r="E90" s="45" t="n">
        <v>3</v>
      </c>
    </row>
    <row r="91">
      <c r="A91" s="27" t="inlineStr">
        <is>
          <t>C02</t>
        </is>
      </c>
      <c r="B91" s="13" t="inlineStr">
        <is>
          <t>Digital collection retry (UPI / link / NACH)</t>
        </is>
      </c>
      <c r="C91" s="45" t="n">
        <v>1.8</v>
      </c>
      <c r="D91" s="45" t="n">
        <v>2.2</v>
      </c>
      <c r="E91" s="45" t="n">
        <v>1.5</v>
      </c>
    </row>
    <row r="92">
      <c r="A92" s="27" t="inlineStr">
        <is>
          <t>C03</t>
        </is>
      </c>
      <c r="B92" s="13" t="inlineStr">
        <is>
          <t>Field collection visit</t>
        </is>
      </c>
      <c r="C92" s="45" t="n">
        <v>0.05</v>
      </c>
      <c r="D92" s="45" t="n">
        <v>0.6</v>
      </c>
      <c r="E92" s="45" t="n">
        <v>0.9</v>
      </c>
    </row>
    <row r="93">
      <c r="A93" s="27" t="inlineStr">
        <is>
          <t>C04</t>
        </is>
      </c>
      <c r="B93" s="13" t="inlineStr">
        <is>
          <t>Agency oversight, roster and invoice handling</t>
        </is>
      </c>
      <c r="C93" s="45" t="n">
        <v>0.2</v>
      </c>
      <c r="D93" s="45" t="n">
        <v>1</v>
      </c>
      <c r="E93" s="45" t="n">
        <v>1</v>
      </c>
    </row>
    <row r="94">
      <c r="A94" s="27" t="inlineStr">
        <is>
          <t>C05</t>
        </is>
      </c>
      <c r="B94" s="13" t="inlineStr">
        <is>
          <t>Legal case filing and eCourts tracking</t>
        </is>
      </c>
      <c r="C94" s="45" t="n">
        <v>0</v>
      </c>
      <c r="D94" s="45" t="n">
        <v>0</v>
      </c>
      <c r="E94" s="45" t="n">
        <v>0.02</v>
      </c>
    </row>
    <row r="95">
      <c r="A95" s="27" t="inlineStr">
        <is>
          <t>C06</t>
        </is>
      </c>
      <c r="B95" s="13" t="inlineStr">
        <is>
          <t>Security enforcement (notice, possession, custodian)</t>
        </is>
      </c>
      <c r="C95" s="45" t="n">
        <v>0</v>
      </c>
      <c r="D95" s="45" t="n">
        <v>0</v>
      </c>
      <c r="E95" s="45" t="n">
        <v>0.015</v>
      </c>
    </row>
    <row r="96">
      <c r="A96" s="27" t="inlineStr">
        <is>
          <t>C07</t>
        </is>
      </c>
      <c r="B96" s="13" t="inlineStr">
        <is>
          <t>Auction (publish, bidder KYC, certificate)</t>
        </is>
      </c>
      <c r="C96" s="45" t="n">
        <v>0</v>
      </c>
      <c r="D96" s="45" t="n">
        <v>0</v>
      </c>
      <c r="E96" s="45" t="n">
        <v>0.008</v>
      </c>
    </row>
    <row r="97">
      <c r="A97" s="27" t="inlineStr">
        <is>
          <t>C08</t>
        </is>
      </c>
      <c r="B97" s="13" t="inlineStr">
        <is>
          <t>Recovery proceeds handling and GL posting</t>
        </is>
      </c>
      <c r="C97" s="45" t="n">
        <v>0.1</v>
      </c>
      <c r="D97" s="45" t="n">
        <v>0.25</v>
      </c>
      <c r="E97" s="45" t="n">
        <v>0.3</v>
      </c>
    </row>
    <row r="98">
      <c r="A98" s="27" t="inlineStr">
        <is>
          <t>C09</t>
        </is>
      </c>
      <c r="B98" s="13" t="inlineStr">
        <is>
          <t>Repossession and yard management</t>
        </is>
      </c>
      <c r="C98" s="45" t="n">
        <v>0</v>
      </c>
      <c r="D98" s="45" t="n">
        <v>0</v>
      </c>
      <c r="E98" s="45" t="n">
        <v>0.012</v>
      </c>
    </row>
    <row r="99">
      <c r="A99" s="7" t="inlineStr">
        <is>
          <t>One shared playbook across journeys. The journey-specific part is the delinquency distribution and the applicability multiplier on sheet 5, not the collections playbook itself.</t>
        </is>
      </c>
    </row>
    <row r="102">
      <c r="A102" s="3" t="inlineStr">
        <is>
          <t>Servicing basis quantity per driver per journey (derived — do not edit)</t>
        </is>
      </c>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28" customHeight="1">
      <c r="A103" s="32" t="inlineStr">
        <is>
          <t>Driver ID</t>
        </is>
      </c>
      <c r="B103" s="32" t="inlineStr">
        <is>
          <t>Basis</t>
        </is>
      </c>
      <c r="C103" s="33" t="inlineStr">
        <is>
          <t>personal_loan</t>
        </is>
      </c>
      <c r="D103" s="33" t="inlineStr">
        <is>
          <t>co_lending_programme</t>
        </is>
      </c>
      <c r="E103" s="33" t="inlineStr">
        <is>
          <t>msme_working_capital</t>
        </is>
      </c>
      <c r="F103" s="33" t="inlineStr">
        <is>
          <t>msme_term_loan</t>
        </is>
      </c>
      <c r="G103" s="33" t="inlineStr">
        <is>
          <t>professional_practice_loan</t>
        </is>
      </c>
      <c r="H103" s="33" t="inlineStr">
        <is>
          <t>secured_business_loan</t>
        </is>
      </c>
      <c r="I103" s="33" t="inlineStr">
        <is>
          <t>loan_against_property</t>
        </is>
      </c>
      <c r="J103" s="33" t="inlineStr">
        <is>
          <t>home_loan</t>
        </is>
      </c>
      <c r="K103" s="33" t="inlineStr">
        <is>
          <t>equipment_machinery_finance</t>
        </is>
      </c>
      <c r="L103" s="33" t="inlineStr">
        <is>
          <t>green_equipment_finance</t>
        </is>
      </c>
      <c r="M103" s="33" t="inlineStr">
        <is>
          <t>personal_vehicle_loan</t>
        </is>
      </c>
      <c r="N103" s="33" t="inlineStr">
        <is>
          <t>commercial_vehicle_finance</t>
        </is>
      </c>
      <c r="O103" s="33" t="inlineStr">
        <is>
          <t>gold_loan</t>
        </is>
      </c>
      <c r="P103" s="33" t="inlineStr">
        <is>
          <t>education_loan</t>
        </is>
      </c>
      <c r="Q103" s="33" t="inlineStr">
        <is>
          <t>agriculture_allied_finance</t>
        </is>
      </c>
      <c r="R103" s="33" t="inlineStr">
        <is>
          <t>microfinance_group_lending</t>
        </is>
      </c>
      <c r="S103" s="33" t="inlineStr">
        <is>
          <t>consumer_durable_finance</t>
        </is>
      </c>
      <c r="T103" s="33" t="inlineStr">
        <is>
          <t>invoice_discounting</t>
        </is>
      </c>
      <c r="U103" s="33" t="inlineStr">
        <is>
          <t>purchase_order_finance</t>
        </is>
      </c>
      <c r="V103" s="33" t="inlineStr">
        <is>
          <t>supply_chain_finance</t>
        </is>
      </c>
      <c r="W103" s="33" t="inlineStr">
        <is>
          <t>trade_finance_workflow</t>
        </is>
      </c>
    </row>
    <row r="104">
      <c r="A104" s="18" t="inlineStr">
        <is>
          <t>S01</t>
        </is>
      </c>
      <c r="B104" s="13" t="inlineStr">
        <is>
          <t>per_loan_month</t>
        </is>
      </c>
      <c r="C104" s="41">
        <f>IFERROR(INDEX($Q$63:$U$83,MATCH(C$103,$A$63:$A$83,0),MATCH($B104,$Q$62:$U$62,0)),0)</f>
        <v/>
      </c>
      <c r="D104" s="41">
        <f>IFERROR(INDEX($Q$63:$U$83,MATCH(D$103,$A$63:$A$83,0),MATCH($B104,$Q$62:$U$62,0)),0)</f>
        <v/>
      </c>
      <c r="E104" s="41">
        <f>IFERROR(INDEX($Q$63:$U$83,MATCH(E$103,$A$63:$A$83,0),MATCH($B104,$Q$62:$U$62,0)),0)</f>
        <v/>
      </c>
      <c r="F104" s="41">
        <f>IFERROR(INDEX($Q$63:$U$83,MATCH(F$103,$A$63:$A$83,0),MATCH($B104,$Q$62:$U$62,0)),0)</f>
        <v/>
      </c>
      <c r="G104" s="41">
        <f>IFERROR(INDEX($Q$63:$U$83,MATCH(G$103,$A$63:$A$83,0),MATCH($B104,$Q$62:$U$62,0)),0)</f>
        <v/>
      </c>
      <c r="H104" s="41">
        <f>IFERROR(INDEX($Q$63:$U$83,MATCH(H$103,$A$63:$A$83,0),MATCH($B104,$Q$62:$U$62,0)),0)</f>
        <v/>
      </c>
      <c r="I104" s="41">
        <f>IFERROR(INDEX($Q$63:$U$83,MATCH(I$103,$A$63:$A$83,0),MATCH($B104,$Q$62:$U$62,0)),0)</f>
        <v/>
      </c>
      <c r="J104" s="41">
        <f>IFERROR(INDEX($Q$63:$U$83,MATCH(J$103,$A$63:$A$83,0),MATCH($B104,$Q$62:$U$62,0)),0)</f>
        <v/>
      </c>
      <c r="K104" s="41">
        <f>IFERROR(INDEX($Q$63:$U$83,MATCH(K$103,$A$63:$A$83,0),MATCH($B104,$Q$62:$U$62,0)),0)</f>
        <v/>
      </c>
      <c r="L104" s="41">
        <f>IFERROR(INDEX($Q$63:$U$83,MATCH(L$103,$A$63:$A$83,0),MATCH($B104,$Q$62:$U$62,0)),0)</f>
        <v/>
      </c>
      <c r="M104" s="41">
        <f>IFERROR(INDEX($Q$63:$U$83,MATCH(M$103,$A$63:$A$83,0),MATCH($B104,$Q$62:$U$62,0)),0)</f>
        <v/>
      </c>
      <c r="N104" s="41">
        <f>IFERROR(INDEX($Q$63:$U$83,MATCH(N$103,$A$63:$A$83,0),MATCH($B104,$Q$62:$U$62,0)),0)</f>
        <v/>
      </c>
      <c r="O104" s="41">
        <f>IFERROR(INDEX($Q$63:$U$83,MATCH(O$103,$A$63:$A$83,0),MATCH($B104,$Q$62:$U$62,0)),0)</f>
        <v/>
      </c>
      <c r="P104" s="41">
        <f>IFERROR(INDEX($Q$63:$U$83,MATCH(P$103,$A$63:$A$83,0),MATCH($B104,$Q$62:$U$62,0)),0)</f>
        <v/>
      </c>
      <c r="Q104" s="41">
        <f>IFERROR(INDEX($Q$63:$U$83,MATCH(Q$103,$A$63:$A$83,0),MATCH($B104,$Q$62:$U$62,0)),0)</f>
        <v/>
      </c>
      <c r="R104" s="41">
        <f>IFERROR(INDEX($Q$63:$U$83,MATCH(R$103,$A$63:$A$83,0),MATCH($B104,$Q$62:$U$62,0)),0)</f>
        <v/>
      </c>
      <c r="S104" s="41">
        <f>IFERROR(INDEX($Q$63:$U$83,MATCH(S$103,$A$63:$A$83,0),MATCH($B104,$Q$62:$U$62,0)),0)</f>
        <v/>
      </c>
      <c r="T104" s="41">
        <f>IFERROR(INDEX($Q$63:$U$83,MATCH(T$103,$A$63:$A$83,0),MATCH($B104,$Q$62:$U$62,0)),0)</f>
        <v/>
      </c>
      <c r="U104" s="41">
        <f>IFERROR(INDEX($Q$63:$U$83,MATCH(U$103,$A$63:$A$83,0),MATCH($B104,$Q$62:$U$62,0)),0)</f>
        <v/>
      </c>
      <c r="V104" s="41">
        <f>IFERROR(INDEX($Q$63:$U$83,MATCH(V$103,$A$63:$A$83,0),MATCH($B104,$Q$62:$U$62,0)),0)</f>
        <v/>
      </c>
      <c r="W104" s="41">
        <f>IFERROR(INDEX($Q$63:$U$83,MATCH(W$103,$A$63:$A$83,0),MATCH($B104,$Q$62:$U$62,0)),0)</f>
        <v/>
      </c>
    </row>
    <row r="105">
      <c r="A105" s="18" t="inlineStr">
        <is>
          <t>S02</t>
        </is>
      </c>
      <c r="B105" s="13" t="inlineStr">
        <is>
          <t>per_emi</t>
        </is>
      </c>
      <c r="C105" s="41">
        <f>IFERROR(INDEX($Q$63:$U$83,MATCH(C$103,$A$63:$A$83,0),MATCH($B105,$Q$62:$U$62,0)),0)</f>
        <v/>
      </c>
      <c r="D105" s="41">
        <f>IFERROR(INDEX($Q$63:$U$83,MATCH(D$103,$A$63:$A$83,0),MATCH($B105,$Q$62:$U$62,0)),0)</f>
        <v/>
      </c>
      <c r="E105" s="41">
        <f>IFERROR(INDEX($Q$63:$U$83,MATCH(E$103,$A$63:$A$83,0),MATCH($B105,$Q$62:$U$62,0)),0)</f>
        <v/>
      </c>
      <c r="F105" s="41">
        <f>IFERROR(INDEX($Q$63:$U$83,MATCH(F$103,$A$63:$A$83,0),MATCH($B105,$Q$62:$U$62,0)),0)</f>
        <v/>
      </c>
      <c r="G105" s="41">
        <f>IFERROR(INDEX($Q$63:$U$83,MATCH(G$103,$A$63:$A$83,0),MATCH($B105,$Q$62:$U$62,0)),0)</f>
        <v/>
      </c>
      <c r="H105" s="41">
        <f>IFERROR(INDEX($Q$63:$U$83,MATCH(H$103,$A$63:$A$83,0),MATCH($B105,$Q$62:$U$62,0)),0)</f>
        <v/>
      </c>
      <c r="I105" s="41">
        <f>IFERROR(INDEX($Q$63:$U$83,MATCH(I$103,$A$63:$A$83,0),MATCH($B105,$Q$62:$U$62,0)),0)</f>
        <v/>
      </c>
      <c r="J105" s="41">
        <f>IFERROR(INDEX($Q$63:$U$83,MATCH(J$103,$A$63:$A$83,0),MATCH($B105,$Q$62:$U$62,0)),0)</f>
        <v/>
      </c>
      <c r="K105" s="41">
        <f>IFERROR(INDEX($Q$63:$U$83,MATCH(K$103,$A$63:$A$83,0),MATCH($B105,$Q$62:$U$62,0)),0)</f>
        <v/>
      </c>
      <c r="L105" s="41">
        <f>IFERROR(INDEX($Q$63:$U$83,MATCH(L$103,$A$63:$A$83,0),MATCH($B105,$Q$62:$U$62,0)),0)</f>
        <v/>
      </c>
      <c r="M105" s="41">
        <f>IFERROR(INDEX($Q$63:$U$83,MATCH(M$103,$A$63:$A$83,0),MATCH($B105,$Q$62:$U$62,0)),0)</f>
        <v/>
      </c>
      <c r="N105" s="41">
        <f>IFERROR(INDEX($Q$63:$U$83,MATCH(N$103,$A$63:$A$83,0),MATCH($B105,$Q$62:$U$62,0)),0)</f>
        <v/>
      </c>
      <c r="O105" s="41">
        <f>IFERROR(INDEX($Q$63:$U$83,MATCH(O$103,$A$63:$A$83,0),MATCH($B105,$Q$62:$U$62,0)),0)</f>
        <v/>
      </c>
      <c r="P105" s="41">
        <f>IFERROR(INDEX($Q$63:$U$83,MATCH(P$103,$A$63:$A$83,0),MATCH($B105,$Q$62:$U$62,0)),0)</f>
        <v/>
      </c>
      <c r="Q105" s="41">
        <f>IFERROR(INDEX($Q$63:$U$83,MATCH(Q$103,$A$63:$A$83,0),MATCH($B105,$Q$62:$U$62,0)),0)</f>
        <v/>
      </c>
      <c r="R105" s="41">
        <f>IFERROR(INDEX($Q$63:$U$83,MATCH(R$103,$A$63:$A$83,0),MATCH($B105,$Q$62:$U$62,0)),0)</f>
        <v/>
      </c>
      <c r="S105" s="41">
        <f>IFERROR(INDEX($Q$63:$U$83,MATCH(S$103,$A$63:$A$83,0),MATCH($B105,$Q$62:$U$62,0)),0)</f>
        <v/>
      </c>
      <c r="T105" s="41">
        <f>IFERROR(INDEX($Q$63:$U$83,MATCH(T$103,$A$63:$A$83,0),MATCH($B105,$Q$62:$U$62,0)),0)</f>
        <v/>
      </c>
      <c r="U105" s="41">
        <f>IFERROR(INDEX($Q$63:$U$83,MATCH(U$103,$A$63:$A$83,0),MATCH($B105,$Q$62:$U$62,0)),0)</f>
        <v/>
      </c>
      <c r="V105" s="41">
        <f>IFERROR(INDEX($Q$63:$U$83,MATCH(V$103,$A$63:$A$83,0),MATCH($B105,$Q$62:$U$62,0)),0)</f>
        <v/>
      </c>
      <c r="W105" s="41">
        <f>IFERROR(INDEX($Q$63:$U$83,MATCH(W$103,$A$63:$A$83,0),MATCH($B105,$Q$62:$U$62,0)),0)</f>
        <v/>
      </c>
    </row>
    <row r="106">
      <c r="A106" s="18" t="inlineStr">
        <is>
          <t>S03</t>
        </is>
      </c>
      <c r="B106" s="13" t="inlineStr">
        <is>
          <t>per_bounced_emi</t>
        </is>
      </c>
      <c r="C106" s="41">
        <f>IFERROR(INDEX($Q$63:$U$83,MATCH(C$103,$A$63:$A$83,0),MATCH($B106,$Q$62:$U$62,0)),0)</f>
        <v/>
      </c>
      <c r="D106" s="41">
        <f>IFERROR(INDEX($Q$63:$U$83,MATCH(D$103,$A$63:$A$83,0),MATCH($B106,$Q$62:$U$62,0)),0)</f>
        <v/>
      </c>
      <c r="E106" s="41">
        <f>IFERROR(INDEX($Q$63:$U$83,MATCH(E$103,$A$63:$A$83,0),MATCH($B106,$Q$62:$U$62,0)),0)</f>
        <v/>
      </c>
      <c r="F106" s="41">
        <f>IFERROR(INDEX($Q$63:$U$83,MATCH(F$103,$A$63:$A$83,0),MATCH($B106,$Q$62:$U$62,0)),0)</f>
        <v/>
      </c>
      <c r="G106" s="41">
        <f>IFERROR(INDEX($Q$63:$U$83,MATCH(G$103,$A$63:$A$83,0),MATCH($B106,$Q$62:$U$62,0)),0)</f>
        <v/>
      </c>
      <c r="H106" s="41">
        <f>IFERROR(INDEX($Q$63:$U$83,MATCH(H$103,$A$63:$A$83,0),MATCH($B106,$Q$62:$U$62,0)),0)</f>
        <v/>
      </c>
      <c r="I106" s="41">
        <f>IFERROR(INDEX($Q$63:$U$83,MATCH(I$103,$A$63:$A$83,0),MATCH($B106,$Q$62:$U$62,0)),0)</f>
        <v/>
      </c>
      <c r="J106" s="41">
        <f>IFERROR(INDEX($Q$63:$U$83,MATCH(J$103,$A$63:$A$83,0),MATCH($B106,$Q$62:$U$62,0)),0)</f>
        <v/>
      </c>
      <c r="K106" s="41">
        <f>IFERROR(INDEX($Q$63:$U$83,MATCH(K$103,$A$63:$A$83,0),MATCH($B106,$Q$62:$U$62,0)),0)</f>
        <v/>
      </c>
      <c r="L106" s="41">
        <f>IFERROR(INDEX($Q$63:$U$83,MATCH(L$103,$A$63:$A$83,0),MATCH($B106,$Q$62:$U$62,0)),0)</f>
        <v/>
      </c>
      <c r="M106" s="41">
        <f>IFERROR(INDEX($Q$63:$U$83,MATCH(M$103,$A$63:$A$83,0),MATCH($B106,$Q$62:$U$62,0)),0)</f>
        <v/>
      </c>
      <c r="N106" s="41">
        <f>IFERROR(INDEX($Q$63:$U$83,MATCH(N$103,$A$63:$A$83,0),MATCH($B106,$Q$62:$U$62,0)),0)</f>
        <v/>
      </c>
      <c r="O106" s="41">
        <f>IFERROR(INDEX($Q$63:$U$83,MATCH(O$103,$A$63:$A$83,0),MATCH($B106,$Q$62:$U$62,0)),0)</f>
        <v/>
      </c>
      <c r="P106" s="41">
        <f>IFERROR(INDEX($Q$63:$U$83,MATCH(P$103,$A$63:$A$83,0),MATCH($B106,$Q$62:$U$62,0)),0)</f>
        <v/>
      </c>
      <c r="Q106" s="41">
        <f>IFERROR(INDEX($Q$63:$U$83,MATCH(Q$103,$A$63:$A$83,0),MATCH($B106,$Q$62:$U$62,0)),0)</f>
        <v/>
      </c>
      <c r="R106" s="41">
        <f>IFERROR(INDEX($Q$63:$U$83,MATCH(R$103,$A$63:$A$83,0),MATCH($B106,$Q$62:$U$62,0)),0)</f>
        <v/>
      </c>
      <c r="S106" s="41">
        <f>IFERROR(INDEX($Q$63:$U$83,MATCH(S$103,$A$63:$A$83,0),MATCH($B106,$Q$62:$U$62,0)),0)</f>
        <v/>
      </c>
      <c r="T106" s="41">
        <f>IFERROR(INDEX($Q$63:$U$83,MATCH(T$103,$A$63:$A$83,0),MATCH($B106,$Q$62:$U$62,0)),0)</f>
        <v/>
      </c>
      <c r="U106" s="41">
        <f>IFERROR(INDEX($Q$63:$U$83,MATCH(U$103,$A$63:$A$83,0),MATCH($B106,$Q$62:$U$62,0)),0)</f>
        <v/>
      </c>
      <c r="V106" s="41">
        <f>IFERROR(INDEX($Q$63:$U$83,MATCH(V$103,$A$63:$A$83,0),MATCH($B106,$Q$62:$U$62,0)),0)</f>
        <v/>
      </c>
      <c r="W106" s="41">
        <f>IFERROR(INDEX($Q$63:$U$83,MATCH(W$103,$A$63:$A$83,0),MATCH($B106,$Q$62:$U$62,0)),0)</f>
        <v/>
      </c>
    </row>
    <row r="107">
      <c r="A107" s="18" t="inlineStr">
        <is>
          <t>S04</t>
        </is>
      </c>
      <c r="B107" s="13" t="inlineStr">
        <is>
          <t>per_emi</t>
        </is>
      </c>
      <c r="C107" s="41">
        <f>IFERROR(INDEX($Q$63:$U$83,MATCH(C$103,$A$63:$A$83,0),MATCH($B107,$Q$62:$U$62,0)),0)</f>
        <v/>
      </c>
      <c r="D107" s="41">
        <f>IFERROR(INDEX($Q$63:$U$83,MATCH(D$103,$A$63:$A$83,0),MATCH($B107,$Q$62:$U$62,0)),0)</f>
        <v/>
      </c>
      <c r="E107" s="41">
        <f>IFERROR(INDEX($Q$63:$U$83,MATCH(E$103,$A$63:$A$83,0),MATCH($B107,$Q$62:$U$62,0)),0)</f>
        <v/>
      </c>
      <c r="F107" s="41">
        <f>IFERROR(INDEX($Q$63:$U$83,MATCH(F$103,$A$63:$A$83,0),MATCH($B107,$Q$62:$U$62,0)),0)</f>
        <v/>
      </c>
      <c r="G107" s="41">
        <f>IFERROR(INDEX($Q$63:$U$83,MATCH(G$103,$A$63:$A$83,0),MATCH($B107,$Q$62:$U$62,0)),0)</f>
        <v/>
      </c>
      <c r="H107" s="41">
        <f>IFERROR(INDEX($Q$63:$U$83,MATCH(H$103,$A$63:$A$83,0),MATCH($B107,$Q$62:$U$62,0)),0)</f>
        <v/>
      </c>
      <c r="I107" s="41">
        <f>IFERROR(INDEX($Q$63:$U$83,MATCH(I$103,$A$63:$A$83,0),MATCH($B107,$Q$62:$U$62,0)),0)</f>
        <v/>
      </c>
      <c r="J107" s="41">
        <f>IFERROR(INDEX($Q$63:$U$83,MATCH(J$103,$A$63:$A$83,0),MATCH($B107,$Q$62:$U$62,0)),0)</f>
        <v/>
      </c>
      <c r="K107" s="41">
        <f>IFERROR(INDEX($Q$63:$U$83,MATCH(K$103,$A$63:$A$83,0),MATCH($B107,$Q$62:$U$62,0)),0)</f>
        <v/>
      </c>
      <c r="L107" s="41">
        <f>IFERROR(INDEX($Q$63:$U$83,MATCH(L$103,$A$63:$A$83,0),MATCH($B107,$Q$62:$U$62,0)),0)</f>
        <v/>
      </c>
      <c r="M107" s="41">
        <f>IFERROR(INDEX($Q$63:$U$83,MATCH(M$103,$A$63:$A$83,0),MATCH($B107,$Q$62:$U$62,0)),0)</f>
        <v/>
      </c>
      <c r="N107" s="41">
        <f>IFERROR(INDEX($Q$63:$U$83,MATCH(N$103,$A$63:$A$83,0),MATCH($B107,$Q$62:$U$62,0)),0)</f>
        <v/>
      </c>
      <c r="O107" s="41">
        <f>IFERROR(INDEX($Q$63:$U$83,MATCH(O$103,$A$63:$A$83,0),MATCH($B107,$Q$62:$U$62,0)),0)</f>
        <v/>
      </c>
      <c r="P107" s="41">
        <f>IFERROR(INDEX($Q$63:$U$83,MATCH(P$103,$A$63:$A$83,0),MATCH($B107,$Q$62:$U$62,0)),0)</f>
        <v/>
      </c>
      <c r="Q107" s="41">
        <f>IFERROR(INDEX($Q$63:$U$83,MATCH(Q$103,$A$63:$A$83,0),MATCH($B107,$Q$62:$U$62,0)),0)</f>
        <v/>
      </c>
      <c r="R107" s="41">
        <f>IFERROR(INDEX($Q$63:$U$83,MATCH(R$103,$A$63:$A$83,0),MATCH($B107,$Q$62:$U$62,0)),0)</f>
        <v/>
      </c>
      <c r="S107" s="41">
        <f>IFERROR(INDEX($Q$63:$U$83,MATCH(S$103,$A$63:$A$83,0),MATCH($B107,$Q$62:$U$62,0)),0)</f>
        <v/>
      </c>
      <c r="T107" s="41">
        <f>IFERROR(INDEX($Q$63:$U$83,MATCH(T$103,$A$63:$A$83,0),MATCH($B107,$Q$62:$U$62,0)),0)</f>
        <v/>
      </c>
      <c r="U107" s="41">
        <f>IFERROR(INDEX($Q$63:$U$83,MATCH(U$103,$A$63:$A$83,0),MATCH($B107,$Q$62:$U$62,0)),0)</f>
        <v/>
      </c>
      <c r="V107" s="41">
        <f>IFERROR(INDEX($Q$63:$U$83,MATCH(V$103,$A$63:$A$83,0),MATCH($B107,$Q$62:$U$62,0)),0)</f>
        <v/>
      </c>
      <c r="W107" s="41">
        <f>IFERROR(INDEX($Q$63:$U$83,MATCH(W$103,$A$63:$A$83,0),MATCH($B107,$Q$62:$U$62,0)),0)</f>
        <v/>
      </c>
    </row>
    <row r="108">
      <c r="A108" s="18" t="inlineStr">
        <is>
          <t>S05</t>
        </is>
      </c>
      <c r="B108" s="13" t="inlineStr">
        <is>
          <t>per_loan_month</t>
        </is>
      </c>
      <c r="C108" s="41">
        <f>IFERROR(INDEX($Q$63:$U$83,MATCH(C$103,$A$63:$A$83,0),MATCH($B108,$Q$62:$U$62,0)),0)</f>
        <v/>
      </c>
      <c r="D108" s="41">
        <f>IFERROR(INDEX($Q$63:$U$83,MATCH(D$103,$A$63:$A$83,0),MATCH($B108,$Q$62:$U$62,0)),0)</f>
        <v/>
      </c>
      <c r="E108" s="41">
        <f>IFERROR(INDEX($Q$63:$U$83,MATCH(E$103,$A$63:$A$83,0),MATCH($B108,$Q$62:$U$62,0)),0)</f>
        <v/>
      </c>
      <c r="F108" s="41">
        <f>IFERROR(INDEX($Q$63:$U$83,MATCH(F$103,$A$63:$A$83,0),MATCH($B108,$Q$62:$U$62,0)),0)</f>
        <v/>
      </c>
      <c r="G108" s="41">
        <f>IFERROR(INDEX($Q$63:$U$83,MATCH(G$103,$A$63:$A$83,0),MATCH($B108,$Q$62:$U$62,0)),0)</f>
        <v/>
      </c>
      <c r="H108" s="41">
        <f>IFERROR(INDEX($Q$63:$U$83,MATCH(H$103,$A$63:$A$83,0),MATCH($B108,$Q$62:$U$62,0)),0)</f>
        <v/>
      </c>
      <c r="I108" s="41">
        <f>IFERROR(INDEX($Q$63:$U$83,MATCH(I$103,$A$63:$A$83,0),MATCH($B108,$Q$62:$U$62,0)),0)</f>
        <v/>
      </c>
      <c r="J108" s="41">
        <f>IFERROR(INDEX($Q$63:$U$83,MATCH(J$103,$A$63:$A$83,0),MATCH($B108,$Q$62:$U$62,0)),0)</f>
        <v/>
      </c>
      <c r="K108" s="41">
        <f>IFERROR(INDEX($Q$63:$U$83,MATCH(K$103,$A$63:$A$83,0),MATCH($B108,$Q$62:$U$62,0)),0)</f>
        <v/>
      </c>
      <c r="L108" s="41">
        <f>IFERROR(INDEX($Q$63:$U$83,MATCH(L$103,$A$63:$A$83,0),MATCH($B108,$Q$62:$U$62,0)),0)</f>
        <v/>
      </c>
      <c r="M108" s="41">
        <f>IFERROR(INDEX($Q$63:$U$83,MATCH(M$103,$A$63:$A$83,0),MATCH($B108,$Q$62:$U$62,0)),0)</f>
        <v/>
      </c>
      <c r="N108" s="41">
        <f>IFERROR(INDEX($Q$63:$U$83,MATCH(N$103,$A$63:$A$83,0),MATCH($B108,$Q$62:$U$62,0)),0)</f>
        <v/>
      </c>
      <c r="O108" s="41">
        <f>IFERROR(INDEX($Q$63:$U$83,MATCH(O$103,$A$63:$A$83,0),MATCH($B108,$Q$62:$U$62,0)),0)</f>
        <v/>
      </c>
      <c r="P108" s="41">
        <f>IFERROR(INDEX($Q$63:$U$83,MATCH(P$103,$A$63:$A$83,0),MATCH($B108,$Q$62:$U$62,0)),0)</f>
        <v/>
      </c>
      <c r="Q108" s="41">
        <f>IFERROR(INDEX($Q$63:$U$83,MATCH(Q$103,$A$63:$A$83,0),MATCH($B108,$Q$62:$U$62,0)),0)</f>
        <v/>
      </c>
      <c r="R108" s="41">
        <f>IFERROR(INDEX($Q$63:$U$83,MATCH(R$103,$A$63:$A$83,0),MATCH($B108,$Q$62:$U$62,0)),0)</f>
        <v/>
      </c>
      <c r="S108" s="41">
        <f>IFERROR(INDEX($Q$63:$U$83,MATCH(S$103,$A$63:$A$83,0),MATCH($B108,$Q$62:$U$62,0)),0)</f>
        <v/>
      </c>
      <c r="T108" s="41">
        <f>IFERROR(INDEX($Q$63:$U$83,MATCH(T$103,$A$63:$A$83,0),MATCH($B108,$Q$62:$U$62,0)),0)</f>
        <v/>
      </c>
      <c r="U108" s="41">
        <f>IFERROR(INDEX($Q$63:$U$83,MATCH(U$103,$A$63:$A$83,0),MATCH($B108,$Q$62:$U$62,0)),0)</f>
        <v/>
      </c>
      <c r="V108" s="41">
        <f>IFERROR(INDEX($Q$63:$U$83,MATCH(V$103,$A$63:$A$83,0),MATCH($B108,$Q$62:$U$62,0)),0)</f>
        <v/>
      </c>
      <c r="W108" s="41">
        <f>IFERROR(INDEX($Q$63:$U$83,MATCH(W$103,$A$63:$A$83,0),MATCH($B108,$Q$62:$U$62,0)),0)</f>
        <v/>
      </c>
    </row>
    <row r="109">
      <c r="A109" s="18" t="inlineStr">
        <is>
          <t>S06</t>
        </is>
      </c>
      <c r="B109" s="13" t="inlineStr">
        <is>
          <t>per_loan_month</t>
        </is>
      </c>
      <c r="C109" s="41">
        <f>IFERROR(INDEX($Q$63:$U$83,MATCH(C$103,$A$63:$A$83,0),MATCH($B109,$Q$62:$U$62,0)),0)</f>
        <v/>
      </c>
      <c r="D109" s="41">
        <f>IFERROR(INDEX($Q$63:$U$83,MATCH(D$103,$A$63:$A$83,0),MATCH($B109,$Q$62:$U$62,0)),0)</f>
        <v/>
      </c>
      <c r="E109" s="41">
        <f>IFERROR(INDEX($Q$63:$U$83,MATCH(E$103,$A$63:$A$83,0),MATCH($B109,$Q$62:$U$62,0)),0)</f>
        <v/>
      </c>
      <c r="F109" s="41">
        <f>IFERROR(INDEX($Q$63:$U$83,MATCH(F$103,$A$63:$A$83,0),MATCH($B109,$Q$62:$U$62,0)),0)</f>
        <v/>
      </c>
      <c r="G109" s="41">
        <f>IFERROR(INDEX($Q$63:$U$83,MATCH(G$103,$A$63:$A$83,0),MATCH($B109,$Q$62:$U$62,0)),0)</f>
        <v/>
      </c>
      <c r="H109" s="41">
        <f>IFERROR(INDEX($Q$63:$U$83,MATCH(H$103,$A$63:$A$83,0),MATCH($B109,$Q$62:$U$62,0)),0)</f>
        <v/>
      </c>
      <c r="I109" s="41">
        <f>IFERROR(INDEX($Q$63:$U$83,MATCH(I$103,$A$63:$A$83,0),MATCH($B109,$Q$62:$U$62,0)),0)</f>
        <v/>
      </c>
      <c r="J109" s="41">
        <f>IFERROR(INDEX($Q$63:$U$83,MATCH(J$103,$A$63:$A$83,0),MATCH($B109,$Q$62:$U$62,0)),0)</f>
        <v/>
      </c>
      <c r="K109" s="41">
        <f>IFERROR(INDEX($Q$63:$U$83,MATCH(K$103,$A$63:$A$83,0),MATCH($B109,$Q$62:$U$62,0)),0)</f>
        <v/>
      </c>
      <c r="L109" s="41">
        <f>IFERROR(INDEX($Q$63:$U$83,MATCH(L$103,$A$63:$A$83,0),MATCH($B109,$Q$62:$U$62,0)),0)</f>
        <v/>
      </c>
      <c r="M109" s="41">
        <f>IFERROR(INDEX($Q$63:$U$83,MATCH(M$103,$A$63:$A$83,0),MATCH($B109,$Q$62:$U$62,0)),0)</f>
        <v/>
      </c>
      <c r="N109" s="41">
        <f>IFERROR(INDEX($Q$63:$U$83,MATCH(N$103,$A$63:$A$83,0),MATCH($B109,$Q$62:$U$62,0)),0)</f>
        <v/>
      </c>
      <c r="O109" s="41">
        <f>IFERROR(INDEX($Q$63:$U$83,MATCH(O$103,$A$63:$A$83,0),MATCH($B109,$Q$62:$U$62,0)),0)</f>
        <v/>
      </c>
      <c r="P109" s="41">
        <f>IFERROR(INDEX($Q$63:$U$83,MATCH(P$103,$A$63:$A$83,0),MATCH($B109,$Q$62:$U$62,0)),0)</f>
        <v/>
      </c>
      <c r="Q109" s="41">
        <f>IFERROR(INDEX($Q$63:$U$83,MATCH(Q$103,$A$63:$A$83,0),MATCH($B109,$Q$62:$U$62,0)),0)</f>
        <v/>
      </c>
      <c r="R109" s="41">
        <f>IFERROR(INDEX($Q$63:$U$83,MATCH(R$103,$A$63:$A$83,0),MATCH($B109,$Q$62:$U$62,0)),0)</f>
        <v/>
      </c>
      <c r="S109" s="41">
        <f>IFERROR(INDEX($Q$63:$U$83,MATCH(S$103,$A$63:$A$83,0),MATCH($B109,$Q$62:$U$62,0)),0)</f>
        <v/>
      </c>
      <c r="T109" s="41">
        <f>IFERROR(INDEX($Q$63:$U$83,MATCH(T$103,$A$63:$A$83,0),MATCH($B109,$Q$62:$U$62,0)),0)</f>
        <v/>
      </c>
      <c r="U109" s="41">
        <f>IFERROR(INDEX($Q$63:$U$83,MATCH(U$103,$A$63:$A$83,0),MATCH($B109,$Q$62:$U$62,0)),0)</f>
        <v/>
      </c>
      <c r="V109" s="41">
        <f>IFERROR(INDEX($Q$63:$U$83,MATCH(V$103,$A$63:$A$83,0),MATCH($B109,$Q$62:$U$62,0)),0)</f>
        <v/>
      </c>
      <c r="W109" s="41">
        <f>IFERROR(INDEX($Q$63:$U$83,MATCH(W$103,$A$63:$A$83,0),MATCH($B109,$Q$62:$U$62,0)),0)</f>
        <v/>
      </c>
    </row>
    <row r="110">
      <c r="A110" s="18" t="inlineStr">
        <is>
          <t>S07</t>
        </is>
      </c>
      <c r="B110" s="13" t="inlineStr">
        <is>
          <t>per_loan_month</t>
        </is>
      </c>
      <c r="C110" s="41">
        <f>IFERROR(INDEX($Q$63:$U$83,MATCH(C$103,$A$63:$A$83,0),MATCH($B110,$Q$62:$U$62,0)),0)</f>
        <v/>
      </c>
      <c r="D110" s="41">
        <f>IFERROR(INDEX($Q$63:$U$83,MATCH(D$103,$A$63:$A$83,0),MATCH($B110,$Q$62:$U$62,0)),0)</f>
        <v/>
      </c>
      <c r="E110" s="41">
        <f>IFERROR(INDEX($Q$63:$U$83,MATCH(E$103,$A$63:$A$83,0),MATCH($B110,$Q$62:$U$62,0)),0)</f>
        <v/>
      </c>
      <c r="F110" s="41">
        <f>IFERROR(INDEX($Q$63:$U$83,MATCH(F$103,$A$63:$A$83,0),MATCH($B110,$Q$62:$U$62,0)),0)</f>
        <v/>
      </c>
      <c r="G110" s="41">
        <f>IFERROR(INDEX($Q$63:$U$83,MATCH(G$103,$A$63:$A$83,0),MATCH($B110,$Q$62:$U$62,0)),0)</f>
        <v/>
      </c>
      <c r="H110" s="41">
        <f>IFERROR(INDEX($Q$63:$U$83,MATCH(H$103,$A$63:$A$83,0),MATCH($B110,$Q$62:$U$62,0)),0)</f>
        <v/>
      </c>
      <c r="I110" s="41">
        <f>IFERROR(INDEX($Q$63:$U$83,MATCH(I$103,$A$63:$A$83,0),MATCH($B110,$Q$62:$U$62,0)),0)</f>
        <v/>
      </c>
      <c r="J110" s="41">
        <f>IFERROR(INDEX($Q$63:$U$83,MATCH(J$103,$A$63:$A$83,0),MATCH($B110,$Q$62:$U$62,0)),0)</f>
        <v/>
      </c>
      <c r="K110" s="41">
        <f>IFERROR(INDEX($Q$63:$U$83,MATCH(K$103,$A$63:$A$83,0),MATCH($B110,$Q$62:$U$62,0)),0)</f>
        <v/>
      </c>
      <c r="L110" s="41">
        <f>IFERROR(INDEX($Q$63:$U$83,MATCH(L$103,$A$63:$A$83,0),MATCH($B110,$Q$62:$U$62,0)),0)</f>
        <v/>
      </c>
      <c r="M110" s="41">
        <f>IFERROR(INDEX($Q$63:$U$83,MATCH(M$103,$A$63:$A$83,0),MATCH($B110,$Q$62:$U$62,0)),0)</f>
        <v/>
      </c>
      <c r="N110" s="41">
        <f>IFERROR(INDEX($Q$63:$U$83,MATCH(N$103,$A$63:$A$83,0),MATCH($B110,$Q$62:$U$62,0)),0)</f>
        <v/>
      </c>
      <c r="O110" s="41">
        <f>IFERROR(INDEX($Q$63:$U$83,MATCH(O$103,$A$63:$A$83,0),MATCH($B110,$Q$62:$U$62,0)),0)</f>
        <v/>
      </c>
      <c r="P110" s="41">
        <f>IFERROR(INDEX($Q$63:$U$83,MATCH(P$103,$A$63:$A$83,0),MATCH($B110,$Q$62:$U$62,0)),0)</f>
        <v/>
      </c>
      <c r="Q110" s="41">
        <f>IFERROR(INDEX($Q$63:$U$83,MATCH(Q$103,$A$63:$A$83,0),MATCH($B110,$Q$62:$U$62,0)),0)</f>
        <v/>
      </c>
      <c r="R110" s="41">
        <f>IFERROR(INDEX($Q$63:$U$83,MATCH(R$103,$A$63:$A$83,0),MATCH($B110,$Q$62:$U$62,0)),0)</f>
        <v/>
      </c>
      <c r="S110" s="41">
        <f>IFERROR(INDEX($Q$63:$U$83,MATCH(S$103,$A$63:$A$83,0),MATCH($B110,$Q$62:$U$62,0)),0)</f>
        <v/>
      </c>
      <c r="T110" s="41">
        <f>IFERROR(INDEX($Q$63:$U$83,MATCH(T$103,$A$63:$A$83,0),MATCH($B110,$Q$62:$U$62,0)),0)</f>
        <v/>
      </c>
      <c r="U110" s="41">
        <f>IFERROR(INDEX($Q$63:$U$83,MATCH(U$103,$A$63:$A$83,0),MATCH($B110,$Q$62:$U$62,0)),0)</f>
        <v/>
      </c>
      <c r="V110" s="41">
        <f>IFERROR(INDEX($Q$63:$U$83,MATCH(V$103,$A$63:$A$83,0),MATCH($B110,$Q$62:$U$62,0)),0)</f>
        <v/>
      </c>
      <c r="W110" s="41">
        <f>IFERROR(INDEX($Q$63:$U$83,MATCH(W$103,$A$63:$A$83,0),MATCH($B110,$Q$62:$U$62,0)),0)</f>
        <v/>
      </c>
    </row>
    <row r="111">
      <c r="A111" s="18" t="inlineStr">
        <is>
          <t>S08</t>
        </is>
      </c>
      <c r="B111" s="13" t="inlineStr">
        <is>
          <t>per_loan_year</t>
        </is>
      </c>
      <c r="C111" s="41">
        <f>IFERROR(INDEX($Q$63:$U$83,MATCH(C$103,$A$63:$A$83,0),MATCH($B111,$Q$62:$U$62,0)),0)</f>
        <v/>
      </c>
      <c r="D111" s="41">
        <f>IFERROR(INDEX($Q$63:$U$83,MATCH(D$103,$A$63:$A$83,0),MATCH($B111,$Q$62:$U$62,0)),0)</f>
        <v/>
      </c>
      <c r="E111" s="41">
        <f>IFERROR(INDEX($Q$63:$U$83,MATCH(E$103,$A$63:$A$83,0),MATCH($B111,$Q$62:$U$62,0)),0)</f>
        <v/>
      </c>
      <c r="F111" s="41">
        <f>IFERROR(INDEX($Q$63:$U$83,MATCH(F$103,$A$63:$A$83,0),MATCH($B111,$Q$62:$U$62,0)),0)</f>
        <v/>
      </c>
      <c r="G111" s="41">
        <f>IFERROR(INDEX($Q$63:$U$83,MATCH(G$103,$A$63:$A$83,0),MATCH($B111,$Q$62:$U$62,0)),0)</f>
        <v/>
      </c>
      <c r="H111" s="41">
        <f>IFERROR(INDEX($Q$63:$U$83,MATCH(H$103,$A$63:$A$83,0),MATCH($B111,$Q$62:$U$62,0)),0)</f>
        <v/>
      </c>
      <c r="I111" s="41">
        <f>IFERROR(INDEX($Q$63:$U$83,MATCH(I$103,$A$63:$A$83,0),MATCH($B111,$Q$62:$U$62,0)),0)</f>
        <v/>
      </c>
      <c r="J111" s="41">
        <f>IFERROR(INDEX($Q$63:$U$83,MATCH(J$103,$A$63:$A$83,0),MATCH($B111,$Q$62:$U$62,0)),0)</f>
        <v/>
      </c>
      <c r="K111" s="41">
        <f>IFERROR(INDEX($Q$63:$U$83,MATCH(K$103,$A$63:$A$83,0),MATCH($B111,$Q$62:$U$62,0)),0)</f>
        <v/>
      </c>
      <c r="L111" s="41">
        <f>IFERROR(INDEX($Q$63:$U$83,MATCH(L$103,$A$63:$A$83,0),MATCH($B111,$Q$62:$U$62,0)),0)</f>
        <v/>
      </c>
      <c r="M111" s="41">
        <f>IFERROR(INDEX($Q$63:$U$83,MATCH(M$103,$A$63:$A$83,0),MATCH($B111,$Q$62:$U$62,0)),0)</f>
        <v/>
      </c>
      <c r="N111" s="41">
        <f>IFERROR(INDEX($Q$63:$U$83,MATCH(N$103,$A$63:$A$83,0),MATCH($B111,$Q$62:$U$62,0)),0)</f>
        <v/>
      </c>
      <c r="O111" s="41">
        <f>IFERROR(INDEX($Q$63:$U$83,MATCH(O$103,$A$63:$A$83,0),MATCH($B111,$Q$62:$U$62,0)),0)</f>
        <v/>
      </c>
      <c r="P111" s="41">
        <f>IFERROR(INDEX($Q$63:$U$83,MATCH(P$103,$A$63:$A$83,0),MATCH($B111,$Q$62:$U$62,0)),0)</f>
        <v/>
      </c>
      <c r="Q111" s="41">
        <f>IFERROR(INDEX($Q$63:$U$83,MATCH(Q$103,$A$63:$A$83,0),MATCH($B111,$Q$62:$U$62,0)),0)</f>
        <v/>
      </c>
      <c r="R111" s="41">
        <f>IFERROR(INDEX($Q$63:$U$83,MATCH(R$103,$A$63:$A$83,0),MATCH($B111,$Q$62:$U$62,0)),0)</f>
        <v/>
      </c>
      <c r="S111" s="41">
        <f>IFERROR(INDEX($Q$63:$U$83,MATCH(S$103,$A$63:$A$83,0),MATCH($B111,$Q$62:$U$62,0)),0)</f>
        <v/>
      </c>
      <c r="T111" s="41">
        <f>IFERROR(INDEX($Q$63:$U$83,MATCH(T$103,$A$63:$A$83,0),MATCH($B111,$Q$62:$U$62,0)),0)</f>
        <v/>
      </c>
      <c r="U111" s="41">
        <f>IFERROR(INDEX($Q$63:$U$83,MATCH(U$103,$A$63:$A$83,0),MATCH($B111,$Q$62:$U$62,0)),0)</f>
        <v/>
      </c>
      <c r="V111" s="41">
        <f>IFERROR(INDEX($Q$63:$U$83,MATCH(V$103,$A$63:$A$83,0),MATCH($B111,$Q$62:$U$62,0)),0)</f>
        <v/>
      </c>
      <c r="W111" s="41">
        <f>IFERROR(INDEX($Q$63:$U$83,MATCH(W$103,$A$63:$A$83,0),MATCH($B111,$Q$62:$U$62,0)),0)</f>
        <v/>
      </c>
    </row>
    <row r="112">
      <c r="A112" s="18" t="inlineStr">
        <is>
          <t>S09</t>
        </is>
      </c>
      <c r="B112" s="13" t="inlineStr">
        <is>
          <t>per_loan_year</t>
        </is>
      </c>
      <c r="C112" s="41">
        <f>IFERROR(INDEX($Q$63:$U$83,MATCH(C$103,$A$63:$A$83,0),MATCH($B112,$Q$62:$U$62,0)),0)</f>
        <v/>
      </c>
      <c r="D112" s="41">
        <f>IFERROR(INDEX($Q$63:$U$83,MATCH(D$103,$A$63:$A$83,0),MATCH($B112,$Q$62:$U$62,0)),0)</f>
        <v/>
      </c>
      <c r="E112" s="41">
        <f>IFERROR(INDEX($Q$63:$U$83,MATCH(E$103,$A$63:$A$83,0),MATCH($B112,$Q$62:$U$62,0)),0)</f>
        <v/>
      </c>
      <c r="F112" s="41">
        <f>IFERROR(INDEX($Q$63:$U$83,MATCH(F$103,$A$63:$A$83,0),MATCH($B112,$Q$62:$U$62,0)),0)</f>
        <v/>
      </c>
      <c r="G112" s="41">
        <f>IFERROR(INDEX($Q$63:$U$83,MATCH(G$103,$A$63:$A$83,0),MATCH($B112,$Q$62:$U$62,0)),0)</f>
        <v/>
      </c>
      <c r="H112" s="41">
        <f>IFERROR(INDEX($Q$63:$U$83,MATCH(H$103,$A$63:$A$83,0),MATCH($B112,$Q$62:$U$62,0)),0)</f>
        <v/>
      </c>
      <c r="I112" s="41">
        <f>IFERROR(INDEX($Q$63:$U$83,MATCH(I$103,$A$63:$A$83,0),MATCH($B112,$Q$62:$U$62,0)),0)</f>
        <v/>
      </c>
      <c r="J112" s="41">
        <f>IFERROR(INDEX($Q$63:$U$83,MATCH(J$103,$A$63:$A$83,0),MATCH($B112,$Q$62:$U$62,0)),0)</f>
        <v/>
      </c>
      <c r="K112" s="41">
        <f>IFERROR(INDEX($Q$63:$U$83,MATCH(K$103,$A$63:$A$83,0),MATCH($B112,$Q$62:$U$62,0)),0)</f>
        <v/>
      </c>
      <c r="L112" s="41">
        <f>IFERROR(INDEX($Q$63:$U$83,MATCH(L$103,$A$63:$A$83,0),MATCH($B112,$Q$62:$U$62,0)),0)</f>
        <v/>
      </c>
      <c r="M112" s="41">
        <f>IFERROR(INDEX($Q$63:$U$83,MATCH(M$103,$A$63:$A$83,0),MATCH($B112,$Q$62:$U$62,0)),0)</f>
        <v/>
      </c>
      <c r="N112" s="41">
        <f>IFERROR(INDEX($Q$63:$U$83,MATCH(N$103,$A$63:$A$83,0),MATCH($B112,$Q$62:$U$62,0)),0)</f>
        <v/>
      </c>
      <c r="O112" s="41">
        <f>IFERROR(INDEX($Q$63:$U$83,MATCH(O$103,$A$63:$A$83,0),MATCH($B112,$Q$62:$U$62,0)),0)</f>
        <v/>
      </c>
      <c r="P112" s="41">
        <f>IFERROR(INDEX($Q$63:$U$83,MATCH(P$103,$A$63:$A$83,0),MATCH($B112,$Q$62:$U$62,0)),0)</f>
        <v/>
      </c>
      <c r="Q112" s="41">
        <f>IFERROR(INDEX($Q$63:$U$83,MATCH(Q$103,$A$63:$A$83,0),MATCH($B112,$Q$62:$U$62,0)),0)</f>
        <v/>
      </c>
      <c r="R112" s="41">
        <f>IFERROR(INDEX($Q$63:$U$83,MATCH(R$103,$A$63:$A$83,0),MATCH($B112,$Q$62:$U$62,0)),0)</f>
        <v/>
      </c>
      <c r="S112" s="41">
        <f>IFERROR(INDEX($Q$63:$U$83,MATCH(S$103,$A$63:$A$83,0),MATCH($B112,$Q$62:$U$62,0)),0)</f>
        <v/>
      </c>
      <c r="T112" s="41">
        <f>IFERROR(INDEX($Q$63:$U$83,MATCH(T$103,$A$63:$A$83,0),MATCH($B112,$Q$62:$U$62,0)),0)</f>
        <v/>
      </c>
      <c r="U112" s="41">
        <f>IFERROR(INDEX($Q$63:$U$83,MATCH(U$103,$A$63:$A$83,0),MATCH($B112,$Q$62:$U$62,0)),0)</f>
        <v/>
      </c>
      <c r="V112" s="41">
        <f>IFERROR(INDEX($Q$63:$U$83,MATCH(V$103,$A$63:$A$83,0),MATCH($B112,$Q$62:$U$62,0)),0)</f>
        <v/>
      </c>
      <c r="W112" s="41">
        <f>IFERROR(INDEX($Q$63:$U$83,MATCH(W$103,$A$63:$A$83,0),MATCH($B112,$Q$62:$U$62,0)),0)</f>
        <v/>
      </c>
    </row>
    <row r="113">
      <c r="A113" s="18" t="inlineStr">
        <is>
          <t>S10</t>
        </is>
      </c>
      <c r="B113" s="13" t="inlineStr">
        <is>
          <t>per_loan_year</t>
        </is>
      </c>
      <c r="C113" s="41">
        <f>IFERROR(INDEX($Q$63:$U$83,MATCH(C$103,$A$63:$A$83,0),MATCH($B113,$Q$62:$U$62,0)),0)</f>
        <v/>
      </c>
      <c r="D113" s="41">
        <f>IFERROR(INDEX($Q$63:$U$83,MATCH(D$103,$A$63:$A$83,0),MATCH($B113,$Q$62:$U$62,0)),0)</f>
        <v/>
      </c>
      <c r="E113" s="41">
        <f>IFERROR(INDEX($Q$63:$U$83,MATCH(E$103,$A$63:$A$83,0),MATCH($B113,$Q$62:$U$62,0)),0)</f>
        <v/>
      </c>
      <c r="F113" s="41">
        <f>IFERROR(INDEX($Q$63:$U$83,MATCH(F$103,$A$63:$A$83,0),MATCH($B113,$Q$62:$U$62,0)),0)</f>
        <v/>
      </c>
      <c r="G113" s="41">
        <f>IFERROR(INDEX($Q$63:$U$83,MATCH(G$103,$A$63:$A$83,0),MATCH($B113,$Q$62:$U$62,0)),0)</f>
        <v/>
      </c>
      <c r="H113" s="41">
        <f>IFERROR(INDEX($Q$63:$U$83,MATCH(H$103,$A$63:$A$83,0),MATCH($B113,$Q$62:$U$62,0)),0)</f>
        <v/>
      </c>
      <c r="I113" s="41">
        <f>IFERROR(INDEX($Q$63:$U$83,MATCH(I$103,$A$63:$A$83,0),MATCH($B113,$Q$62:$U$62,0)),0)</f>
        <v/>
      </c>
      <c r="J113" s="41">
        <f>IFERROR(INDEX($Q$63:$U$83,MATCH(J$103,$A$63:$A$83,0),MATCH($B113,$Q$62:$U$62,0)),0)</f>
        <v/>
      </c>
      <c r="K113" s="41">
        <f>IFERROR(INDEX($Q$63:$U$83,MATCH(K$103,$A$63:$A$83,0),MATCH($B113,$Q$62:$U$62,0)),0)</f>
        <v/>
      </c>
      <c r="L113" s="41">
        <f>IFERROR(INDEX($Q$63:$U$83,MATCH(L$103,$A$63:$A$83,0),MATCH($B113,$Q$62:$U$62,0)),0)</f>
        <v/>
      </c>
      <c r="M113" s="41">
        <f>IFERROR(INDEX($Q$63:$U$83,MATCH(M$103,$A$63:$A$83,0),MATCH($B113,$Q$62:$U$62,0)),0)</f>
        <v/>
      </c>
      <c r="N113" s="41">
        <f>IFERROR(INDEX($Q$63:$U$83,MATCH(N$103,$A$63:$A$83,0),MATCH($B113,$Q$62:$U$62,0)),0)</f>
        <v/>
      </c>
      <c r="O113" s="41">
        <f>IFERROR(INDEX($Q$63:$U$83,MATCH(O$103,$A$63:$A$83,0),MATCH($B113,$Q$62:$U$62,0)),0)</f>
        <v/>
      </c>
      <c r="P113" s="41">
        <f>IFERROR(INDEX($Q$63:$U$83,MATCH(P$103,$A$63:$A$83,0),MATCH($B113,$Q$62:$U$62,0)),0)</f>
        <v/>
      </c>
      <c r="Q113" s="41">
        <f>IFERROR(INDEX($Q$63:$U$83,MATCH(Q$103,$A$63:$A$83,0),MATCH($B113,$Q$62:$U$62,0)),0)</f>
        <v/>
      </c>
      <c r="R113" s="41">
        <f>IFERROR(INDEX($Q$63:$U$83,MATCH(R$103,$A$63:$A$83,0),MATCH($B113,$Q$62:$U$62,0)),0)</f>
        <v/>
      </c>
      <c r="S113" s="41">
        <f>IFERROR(INDEX($Q$63:$U$83,MATCH(S$103,$A$63:$A$83,0),MATCH($B113,$Q$62:$U$62,0)),0)</f>
        <v/>
      </c>
      <c r="T113" s="41">
        <f>IFERROR(INDEX($Q$63:$U$83,MATCH(T$103,$A$63:$A$83,0),MATCH($B113,$Q$62:$U$62,0)),0)</f>
        <v/>
      </c>
      <c r="U113" s="41">
        <f>IFERROR(INDEX($Q$63:$U$83,MATCH(U$103,$A$63:$A$83,0),MATCH($B113,$Q$62:$U$62,0)),0)</f>
        <v/>
      </c>
      <c r="V113" s="41">
        <f>IFERROR(INDEX($Q$63:$U$83,MATCH(V$103,$A$63:$A$83,0),MATCH($B113,$Q$62:$U$62,0)),0)</f>
        <v/>
      </c>
      <c r="W113" s="41">
        <f>IFERROR(INDEX($Q$63:$U$83,MATCH(W$103,$A$63:$A$83,0),MATCH($B113,$Q$62:$U$62,0)),0)</f>
        <v/>
      </c>
    </row>
    <row r="114">
      <c r="A114" s="18" t="inlineStr">
        <is>
          <t>S11</t>
        </is>
      </c>
      <c r="B114" s="13" t="inlineStr">
        <is>
          <t>per_loan_year</t>
        </is>
      </c>
      <c r="C114" s="41">
        <f>IFERROR(INDEX($Q$63:$U$83,MATCH(C$103,$A$63:$A$83,0),MATCH($B114,$Q$62:$U$62,0)),0)</f>
        <v/>
      </c>
      <c r="D114" s="41">
        <f>IFERROR(INDEX($Q$63:$U$83,MATCH(D$103,$A$63:$A$83,0),MATCH($B114,$Q$62:$U$62,0)),0)</f>
        <v/>
      </c>
      <c r="E114" s="41">
        <f>IFERROR(INDEX($Q$63:$U$83,MATCH(E$103,$A$63:$A$83,0),MATCH($B114,$Q$62:$U$62,0)),0)</f>
        <v/>
      </c>
      <c r="F114" s="41">
        <f>IFERROR(INDEX($Q$63:$U$83,MATCH(F$103,$A$63:$A$83,0),MATCH($B114,$Q$62:$U$62,0)),0)</f>
        <v/>
      </c>
      <c r="G114" s="41">
        <f>IFERROR(INDEX($Q$63:$U$83,MATCH(G$103,$A$63:$A$83,0),MATCH($B114,$Q$62:$U$62,0)),0)</f>
        <v/>
      </c>
      <c r="H114" s="41">
        <f>IFERROR(INDEX($Q$63:$U$83,MATCH(H$103,$A$63:$A$83,0),MATCH($B114,$Q$62:$U$62,0)),0)</f>
        <v/>
      </c>
      <c r="I114" s="41">
        <f>IFERROR(INDEX($Q$63:$U$83,MATCH(I$103,$A$63:$A$83,0),MATCH($B114,$Q$62:$U$62,0)),0)</f>
        <v/>
      </c>
      <c r="J114" s="41">
        <f>IFERROR(INDEX($Q$63:$U$83,MATCH(J$103,$A$63:$A$83,0),MATCH($B114,$Q$62:$U$62,0)),0)</f>
        <v/>
      </c>
      <c r="K114" s="41">
        <f>IFERROR(INDEX($Q$63:$U$83,MATCH(K$103,$A$63:$A$83,0),MATCH($B114,$Q$62:$U$62,0)),0)</f>
        <v/>
      </c>
      <c r="L114" s="41">
        <f>IFERROR(INDEX($Q$63:$U$83,MATCH(L$103,$A$63:$A$83,0),MATCH($B114,$Q$62:$U$62,0)),0)</f>
        <v/>
      </c>
      <c r="M114" s="41">
        <f>IFERROR(INDEX($Q$63:$U$83,MATCH(M$103,$A$63:$A$83,0),MATCH($B114,$Q$62:$U$62,0)),0)</f>
        <v/>
      </c>
      <c r="N114" s="41">
        <f>IFERROR(INDEX($Q$63:$U$83,MATCH(N$103,$A$63:$A$83,0),MATCH($B114,$Q$62:$U$62,0)),0)</f>
        <v/>
      </c>
      <c r="O114" s="41">
        <f>IFERROR(INDEX($Q$63:$U$83,MATCH(O$103,$A$63:$A$83,0),MATCH($B114,$Q$62:$U$62,0)),0)</f>
        <v/>
      </c>
      <c r="P114" s="41">
        <f>IFERROR(INDEX($Q$63:$U$83,MATCH(P$103,$A$63:$A$83,0),MATCH($B114,$Q$62:$U$62,0)),0)</f>
        <v/>
      </c>
      <c r="Q114" s="41">
        <f>IFERROR(INDEX($Q$63:$U$83,MATCH(Q$103,$A$63:$A$83,0),MATCH($B114,$Q$62:$U$62,0)),0)</f>
        <v/>
      </c>
      <c r="R114" s="41">
        <f>IFERROR(INDEX($Q$63:$U$83,MATCH(R$103,$A$63:$A$83,0),MATCH($B114,$Q$62:$U$62,0)),0)</f>
        <v/>
      </c>
      <c r="S114" s="41">
        <f>IFERROR(INDEX($Q$63:$U$83,MATCH(S$103,$A$63:$A$83,0),MATCH($B114,$Q$62:$U$62,0)),0)</f>
        <v/>
      </c>
      <c r="T114" s="41">
        <f>IFERROR(INDEX($Q$63:$U$83,MATCH(T$103,$A$63:$A$83,0),MATCH($B114,$Q$62:$U$62,0)),0)</f>
        <v/>
      </c>
      <c r="U114" s="41">
        <f>IFERROR(INDEX($Q$63:$U$83,MATCH(U$103,$A$63:$A$83,0),MATCH($B114,$Q$62:$U$62,0)),0)</f>
        <v/>
      </c>
      <c r="V114" s="41">
        <f>IFERROR(INDEX($Q$63:$U$83,MATCH(V$103,$A$63:$A$83,0),MATCH($B114,$Q$62:$U$62,0)),0)</f>
        <v/>
      </c>
      <c r="W114" s="41">
        <f>IFERROR(INDEX($Q$63:$U$83,MATCH(W$103,$A$63:$A$83,0),MATCH($B114,$Q$62:$U$62,0)),0)</f>
        <v/>
      </c>
    </row>
    <row r="115">
      <c r="A115" s="18" t="inlineStr">
        <is>
          <t>S12</t>
        </is>
      </c>
      <c r="B115" s="13" t="inlineStr">
        <is>
          <t>per_loan_year</t>
        </is>
      </c>
      <c r="C115" s="41">
        <f>IFERROR(INDEX($Q$63:$U$83,MATCH(C$103,$A$63:$A$83,0),MATCH($B115,$Q$62:$U$62,0)),0)</f>
        <v/>
      </c>
      <c r="D115" s="41">
        <f>IFERROR(INDEX($Q$63:$U$83,MATCH(D$103,$A$63:$A$83,0),MATCH($B115,$Q$62:$U$62,0)),0)</f>
        <v/>
      </c>
      <c r="E115" s="41">
        <f>IFERROR(INDEX($Q$63:$U$83,MATCH(E$103,$A$63:$A$83,0),MATCH($B115,$Q$62:$U$62,0)),0)</f>
        <v/>
      </c>
      <c r="F115" s="41">
        <f>IFERROR(INDEX($Q$63:$U$83,MATCH(F$103,$A$63:$A$83,0),MATCH($B115,$Q$62:$U$62,0)),0)</f>
        <v/>
      </c>
      <c r="G115" s="41">
        <f>IFERROR(INDEX($Q$63:$U$83,MATCH(G$103,$A$63:$A$83,0),MATCH($B115,$Q$62:$U$62,0)),0)</f>
        <v/>
      </c>
      <c r="H115" s="41">
        <f>IFERROR(INDEX($Q$63:$U$83,MATCH(H$103,$A$63:$A$83,0),MATCH($B115,$Q$62:$U$62,0)),0)</f>
        <v/>
      </c>
      <c r="I115" s="41">
        <f>IFERROR(INDEX($Q$63:$U$83,MATCH(I$103,$A$63:$A$83,0),MATCH($B115,$Q$62:$U$62,0)),0)</f>
        <v/>
      </c>
      <c r="J115" s="41">
        <f>IFERROR(INDEX($Q$63:$U$83,MATCH(J$103,$A$63:$A$83,0),MATCH($B115,$Q$62:$U$62,0)),0)</f>
        <v/>
      </c>
      <c r="K115" s="41">
        <f>IFERROR(INDEX($Q$63:$U$83,MATCH(K$103,$A$63:$A$83,0),MATCH($B115,$Q$62:$U$62,0)),0)</f>
        <v/>
      </c>
      <c r="L115" s="41">
        <f>IFERROR(INDEX($Q$63:$U$83,MATCH(L$103,$A$63:$A$83,0),MATCH($B115,$Q$62:$U$62,0)),0)</f>
        <v/>
      </c>
      <c r="M115" s="41">
        <f>IFERROR(INDEX($Q$63:$U$83,MATCH(M$103,$A$63:$A$83,0),MATCH($B115,$Q$62:$U$62,0)),0)</f>
        <v/>
      </c>
      <c r="N115" s="41">
        <f>IFERROR(INDEX($Q$63:$U$83,MATCH(N$103,$A$63:$A$83,0),MATCH($B115,$Q$62:$U$62,0)),0)</f>
        <v/>
      </c>
      <c r="O115" s="41">
        <f>IFERROR(INDEX($Q$63:$U$83,MATCH(O$103,$A$63:$A$83,0),MATCH($B115,$Q$62:$U$62,0)),0)</f>
        <v/>
      </c>
      <c r="P115" s="41">
        <f>IFERROR(INDEX($Q$63:$U$83,MATCH(P$103,$A$63:$A$83,0),MATCH($B115,$Q$62:$U$62,0)),0)</f>
        <v/>
      </c>
      <c r="Q115" s="41">
        <f>IFERROR(INDEX($Q$63:$U$83,MATCH(Q$103,$A$63:$A$83,0),MATCH($B115,$Q$62:$U$62,0)),0)</f>
        <v/>
      </c>
      <c r="R115" s="41">
        <f>IFERROR(INDEX($Q$63:$U$83,MATCH(R$103,$A$63:$A$83,0),MATCH($B115,$Q$62:$U$62,0)),0)</f>
        <v/>
      </c>
      <c r="S115" s="41">
        <f>IFERROR(INDEX($Q$63:$U$83,MATCH(S$103,$A$63:$A$83,0),MATCH($B115,$Q$62:$U$62,0)),0)</f>
        <v/>
      </c>
      <c r="T115" s="41">
        <f>IFERROR(INDEX($Q$63:$U$83,MATCH(T$103,$A$63:$A$83,0),MATCH($B115,$Q$62:$U$62,0)),0)</f>
        <v/>
      </c>
      <c r="U115" s="41">
        <f>IFERROR(INDEX($Q$63:$U$83,MATCH(U$103,$A$63:$A$83,0),MATCH($B115,$Q$62:$U$62,0)),0)</f>
        <v/>
      </c>
      <c r="V115" s="41">
        <f>IFERROR(INDEX($Q$63:$U$83,MATCH(V$103,$A$63:$A$83,0),MATCH($B115,$Q$62:$U$62,0)),0)</f>
        <v/>
      </c>
      <c r="W115" s="41">
        <f>IFERROR(INDEX($Q$63:$U$83,MATCH(W$103,$A$63:$A$83,0),MATCH($B115,$Q$62:$U$62,0)),0)</f>
        <v/>
      </c>
    </row>
    <row r="116">
      <c r="A116" s="18" t="inlineStr">
        <is>
          <t>S13</t>
        </is>
      </c>
      <c r="B116" s="13" t="inlineStr">
        <is>
          <t>per_loan_year</t>
        </is>
      </c>
      <c r="C116" s="41">
        <f>IFERROR(INDEX($Q$63:$U$83,MATCH(C$103,$A$63:$A$83,0),MATCH($B116,$Q$62:$U$62,0)),0)</f>
        <v/>
      </c>
      <c r="D116" s="41">
        <f>IFERROR(INDEX($Q$63:$U$83,MATCH(D$103,$A$63:$A$83,0),MATCH($B116,$Q$62:$U$62,0)),0)</f>
        <v/>
      </c>
      <c r="E116" s="41">
        <f>IFERROR(INDEX($Q$63:$U$83,MATCH(E$103,$A$63:$A$83,0),MATCH($B116,$Q$62:$U$62,0)),0)</f>
        <v/>
      </c>
      <c r="F116" s="41">
        <f>IFERROR(INDEX($Q$63:$U$83,MATCH(F$103,$A$63:$A$83,0),MATCH($B116,$Q$62:$U$62,0)),0)</f>
        <v/>
      </c>
      <c r="G116" s="41">
        <f>IFERROR(INDEX($Q$63:$U$83,MATCH(G$103,$A$63:$A$83,0),MATCH($B116,$Q$62:$U$62,0)),0)</f>
        <v/>
      </c>
      <c r="H116" s="41">
        <f>IFERROR(INDEX($Q$63:$U$83,MATCH(H$103,$A$63:$A$83,0),MATCH($B116,$Q$62:$U$62,0)),0)</f>
        <v/>
      </c>
      <c r="I116" s="41">
        <f>IFERROR(INDEX($Q$63:$U$83,MATCH(I$103,$A$63:$A$83,0),MATCH($B116,$Q$62:$U$62,0)),0)</f>
        <v/>
      </c>
      <c r="J116" s="41">
        <f>IFERROR(INDEX($Q$63:$U$83,MATCH(J$103,$A$63:$A$83,0),MATCH($B116,$Q$62:$U$62,0)),0)</f>
        <v/>
      </c>
      <c r="K116" s="41">
        <f>IFERROR(INDEX($Q$63:$U$83,MATCH(K$103,$A$63:$A$83,0),MATCH($B116,$Q$62:$U$62,0)),0)</f>
        <v/>
      </c>
      <c r="L116" s="41">
        <f>IFERROR(INDEX($Q$63:$U$83,MATCH(L$103,$A$63:$A$83,0),MATCH($B116,$Q$62:$U$62,0)),0)</f>
        <v/>
      </c>
      <c r="M116" s="41">
        <f>IFERROR(INDEX($Q$63:$U$83,MATCH(M$103,$A$63:$A$83,0),MATCH($B116,$Q$62:$U$62,0)),0)</f>
        <v/>
      </c>
      <c r="N116" s="41">
        <f>IFERROR(INDEX($Q$63:$U$83,MATCH(N$103,$A$63:$A$83,0),MATCH($B116,$Q$62:$U$62,0)),0)</f>
        <v/>
      </c>
      <c r="O116" s="41">
        <f>IFERROR(INDEX($Q$63:$U$83,MATCH(O$103,$A$63:$A$83,0),MATCH($B116,$Q$62:$U$62,0)),0)</f>
        <v/>
      </c>
      <c r="P116" s="41">
        <f>IFERROR(INDEX($Q$63:$U$83,MATCH(P$103,$A$63:$A$83,0),MATCH($B116,$Q$62:$U$62,0)),0)</f>
        <v/>
      </c>
      <c r="Q116" s="41">
        <f>IFERROR(INDEX($Q$63:$U$83,MATCH(Q$103,$A$63:$A$83,0),MATCH($B116,$Q$62:$U$62,0)),0)</f>
        <v/>
      </c>
      <c r="R116" s="41">
        <f>IFERROR(INDEX($Q$63:$U$83,MATCH(R$103,$A$63:$A$83,0),MATCH($B116,$Q$62:$U$62,0)),0)</f>
        <v/>
      </c>
      <c r="S116" s="41">
        <f>IFERROR(INDEX($Q$63:$U$83,MATCH(S$103,$A$63:$A$83,0),MATCH($B116,$Q$62:$U$62,0)),0)</f>
        <v/>
      </c>
      <c r="T116" s="41">
        <f>IFERROR(INDEX($Q$63:$U$83,MATCH(T$103,$A$63:$A$83,0),MATCH($B116,$Q$62:$U$62,0)),0)</f>
        <v/>
      </c>
      <c r="U116" s="41">
        <f>IFERROR(INDEX($Q$63:$U$83,MATCH(U$103,$A$63:$A$83,0),MATCH($B116,$Q$62:$U$62,0)),0)</f>
        <v/>
      </c>
      <c r="V116" s="41">
        <f>IFERROR(INDEX($Q$63:$U$83,MATCH(V$103,$A$63:$A$83,0),MATCH($B116,$Q$62:$U$62,0)),0)</f>
        <v/>
      </c>
      <c r="W116" s="41">
        <f>IFERROR(INDEX($Q$63:$U$83,MATCH(W$103,$A$63:$A$83,0),MATCH($B116,$Q$62:$U$62,0)),0)</f>
        <v/>
      </c>
    </row>
    <row r="117">
      <c r="A117" s="18" t="inlineStr">
        <is>
          <t>S14</t>
        </is>
      </c>
      <c r="B117" s="13" t="inlineStr">
        <is>
          <t>per_closure</t>
        </is>
      </c>
      <c r="C117" s="41">
        <f>IFERROR(INDEX($Q$63:$U$83,MATCH(C$103,$A$63:$A$83,0),MATCH($B117,$Q$62:$U$62,0)),0)</f>
        <v/>
      </c>
      <c r="D117" s="41">
        <f>IFERROR(INDEX($Q$63:$U$83,MATCH(D$103,$A$63:$A$83,0),MATCH($B117,$Q$62:$U$62,0)),0)</f>
        <v/>
      </c>
      <c r="E117" s="41">
        <f>IFERROR(INDEX($Q$63:$U$83,MATCH(E$103,$A$63:$A$83,0),MATCH($B117,$Q$62:$U$62,0)),0)</f>
        <v/>
      </c>
      <c r="F117" s="41">
        <f>IFERROR(INDEX($Q$63:$U$83,MATCH(F$103,$A$63:$A$83,0),MATCH($B117,$Q$62:$U$62,0)),0)</f>
        <v/>
      </c>
      <c r="G117" s="41">
        <f>IFERROR(INDEX($Q$63:$U$83,MATCH(G$103,$A$63:$A$83,0),MATCH($B117,$Q$62:$U$62,0)),0)</f>
        <v/>
      </c>
      <c r="H117" s="41">
        <f>IFERROR(INDEX($Q$63:$U$83,MATCH(H$103,$A$63:$A$83,0),MATCH($B117,$Q$62:$U$62,0)),0)</f>
        <v/>
      </c>
      <c r="I117" s="41">
        <f>IFERROR(INDEX($Q$63:$U$83,MATCH(I$103,$A$63:$A$83,0),MATCH($B117,$Q$62:$U$62,0)),0)</f>
        <v/>
      </c>
      <c r="J117" s="41">
        <f>IFERROR(INDEX($Q$63:$U$83,MATCH(J$103,$A$63:$A$83,0),MATCH($B117,$Q$62:$U$62,0)),0)</f>
        <v/>
      </c>
      <c r="K117" s="41">
        <f>IFERROR(INDEX($Q$63:$U$83,MATCH(K$103,$A$63:$A$83,0),MATCH($B117,$Q$62:$U$62,0)),0)</f>
        <v/>
      </c>
      <c r="L117" s="41">
        <f>IFERROR(INDEX($Q$63:$U$83,MATCH(L$103,$A$63:$A$83,0),MATCH($B117,$Q$62:$U$62,0)),0)</f>
        <v/>
      </c>
      <c r="M117" s="41">
        <f>IFERROR(INDEX($Q$63:$U$83,MATCH(M$103,$A$63:$A$83,0),MATCH($B117,$Q$62:$U$62,0)),0)</f>
        <v/>
      </c>
      <c r="N117" s="41">
        <f>IFERROR(INDEX($Q$63:$U$83,MATCH(N$103,$A$63:$A$83,0),MATCH($B117,$Q$62:$U$62,0)),0)</f>
        <v/>
      </c>
      <c r="O117" s="41">
        <f>IFERROR(INDEX($Q$63:$U$83,MATCH(O$103,$A$63:$A$83,0),MATCH($B117,$Q$62:$U$62,0)),0)</f>
        <v/>
      </c>
      <c r="P117" s="41">
        <f>IFERROR(INDEX($Q$63:$U$83,MATCH(P$103,$A$63:$A$83,0),MATCH($B117,$Q$62:$U$62,0)),0)</f>
        <v/>
      </c>
      <c r="Q117" s="41">
        <f>IFERROR(INDEX($Q$63:$U$83,MATCH(Q$103,$A$63:$A$83,0),MATCH($B117,$Q$62:$U$62,0)),0)</f>
        <v/>
      </c>
      <c r="R117" s="41">
        <f>IFERROR(INDEX($Q$63:$U$83,MATCH(R$103,$A$63:$A$83,0),MATCH($B117,$Q$62:$U$62,0)),0)</f>
        <v/>
      </c>
      <c r="S117" s="41">
        <f>IFERROR(INDEX($Q$63:$U$83,MATCH(S$103,$A$63:$A$83,0),MATCH($B117,$Q$62:$U$62,0)),0)</f>
        <v/>
      </c>
      <c r="T117" s="41">
        <f>IFERROR(INDEX($Q$63:$U$83,MATCH(T$103,$A$63:$A$83,0),MATCH($B117,$Q$62:$U$62,0)),0)</f>
        <v/>
      </c>
      <c r="U117" s="41">
        <f>IFERROR(INDEX($Q$63:$U$83,MATCH(U$103,$A$63:$A$83,0),MATCH($B117,$Q$62:$U$62,0)),0)</f>
        <v/>
      </c>
      <c r="V117" s="41">
        <f>IFERROR(INDEX($Q$63:$U$83,MATCH(V$103,$A$63:$A$83,0),MATCH($B117,$Q$62:$U$62,0)),0)</f>
        <v/>
      </c>
      <c r="W117" s="41">
        <f>IFERROR(INDEX($Q$63:$U$83,MATCH(W$103,$A$63:$A$83,0),MATCH($B117,$Q$62:$U$62,0)),0)</f>
        <v/>
      </c>
    </row>
    <row r="118">
      <c r="A118" s="18" t="inlineStr">
        <is>
          <t>S15</t>
        </is>
      </c>
      <c r="B118" s="13" t="inlineStr">
        <is>
          <t>per_closure</t>
        </is>
      </c>
      <c r="C118" s="41">
        <f>IFERROR(INDEX($Q$63:$U$83,MATCH(C$103,$A$63:$A$83,0),MATCH($B118,$Q$62:$U$62,0)),0)</f>
        <v/>
      </c>
      <c r="D118" s="41">
        <f>IFERROR(INDEX($Q$63:$U$83,MATCH(D$103,$A$63:$A$83,0),MATCH($B118,$Q$62:$U$62,0)),0)</f>
        <v/>
      </c>
      <c r="E118" s="41">
        <f>IFERROR(INDEX($Q$63:$U$83,MATCH(E$103,$A$63:$A$83,0),MATCH($B118,$Q$62:$U$62,0)),0)</f>
        <v/>
      </c>
      <c r="F118" s="41">
        <f>IFERROR(INDEX($Q$63:$U$83,MATCH(F$103,$A$63:$A$83,0),MATCH($B118,$Q$62:$U$62,0)),0)</f>
        <v/>
      </c>
      <c r="G118" s="41">
        <f>IFERROR(INDEX($Q$63:$U$83,MATCH(G$103,$A$63:$A$83,0),MATCH($B118,$Q$62:$U$62,0)),0)</f>
        <v/>
      </c>
      <c r="H118" s="41">
        <f>IFERROR(INDEX($Q$63:$U$83,MATCH(H$103,$A$63:$A$83,0),MATCH($B118,$Q$62:$U$62,0)),0)</f>
        <v/>
      </c>
      <c r="I118" s="41">
        <f>IFERROR(INDEX($Q$63:$U$83,MATCH(I$103,$A$63:$A$83,0),MATCH($B118,$Q$62:$U$62,0)),0)</f>
        <v/>
      </c>
      <c r="J118" s="41">
        <f>IFERROR(INDEX($Q$63:$U$83,MATCH(J$103,$A$63:$A$83,0),MATCH($B118,$Q$62:$U$62,0)),0)</f>
        <v/>
      </c>
      <c r="K118" s="41">
        <f>IFERROR(INDEX($Q$63:$U$83,MATCH(K$103,$A$63:$A$83,0),MATCH($B118,$Q$62:$U$62,0)),0)</f>
        <v/>
      </c>
      <c r="L118" s="41">
        <f>IFERROR(INDEX($Q$63:$U$83,MATCH(L$103,$A$63:$A$83,0),MATCH($B118,$Q$62:$U$62,0)),0)</f>
        <v/>
      </c>
      <c r="M118" s="41">
        <f>IFERROR(INDEX($Q$63:$U$83,MATCH(M$103,$A$63:$A$83,0),MATCH($B118,$Q$62:$U$62,0)),0)</f>
        <v/>
      </c>
      <c r="N118" s="41">
        <f>IFERROR(INDEX($Q$63:$U$83,MATCH(N$103,$A$63:$A$83,0),MATCH($B118,$Q$62:$U$62,0)),0)</f>
        <v/>
      </c>
      <c r="O118" s="41">
        <f>IFERROR(INDEX($Q$63:$U$83,MATCH(O$103,$A$63:$A$83,0),MATCH($B118,$Q$62:$U$62,0)),0)</f>
        <v/>
      </c>
      <c r="P118" s="41">
        <f>IFERROR(INDEX($Q$63:$U$83,MATCH(P$103,$A$63:$A$83,0),MATCH($B118,$Q$62:$U$62,0)),0)</f>
        <v/>
      </c>
      <c r="Q118" s="41">
        <f>IFERROR(INDEX($Q$63:$U$83,MATCH(Q$103,$A$63:$A$83,0),MATCH($B118,$Q$62:$U$62,0)),0)</f>
        <v/>
      </c>
      <c r="R118" s="41">
        <f>IFERROR(INDEX($Q$63:$U$83,MATCH(R$103,$A$63:$A$83,0),MATCH($B118,$Q$62:$U$62,0)),0)</f>
        <v/>
      </c>
      <c r="S118" s="41">
        <f>IFERROR(INDEX($Q$63:$U$83,MATCH(S$103,$A$63:$A$83,0),MATCH($B118,$Q$62:$U$62,0)),0)</f>
        <v/>
      </c>
      <c r="T118" s="41">
        <f>IFERROR(INDEX($Q$63:$U$83,MATCH(T$103,$A$63:$A$83,0),MATCH($B118,$Q$62:$U$62,0)),0)</f>
        <v/>
      </c>
      <c r="U118" s="41">
        <f>IFERROR(INDEX($Q$63:$U$83,MATCH(U$103,$A$63:$A$83,0),MATCH($B118,$Q$62:$U$62,0)),0)</f>
        <v/>
      </c>
      <c r="V118" s="41">
        <f>IFERROR(INDEX($Q$63:$U$83,MATCH(V$103,$A$63:$A$83,0),MATCH($B118,$Q$62:$U$62,0)),0)</f>
        <v/>
      </c>
      <c r="W118" s="41">
        <f>IFERROR(INDEX($Q$63:$U$83,MATCH(W$103,$A$63:$A$83,0),MATCH($B118,$Q$62:$U$62,0)),0)</f>
        <v/>
      </c>
    </row>
    <row r="119">
      <c r="A119" s="18" t="inlineStr">
        <is>
          <t>S16</t>
        </is>
      </c>
      <c r="B119" s="13" t="inlineStr">
        <is>
          <t>per_closure</t>
        </is>
      </c>
      <c r="C119" s="41">
        <f>IFERROR(INDEX($Q$63:$U$83,MATCH(C$103,$A$63:$A$83,0),MATCH($B119,$Q$62:$U$62,0)),0)</f>
        <v/>
      </c>
      <c r="D119" s="41">
        <f>IFERROR(INDEX($Q$63:$U$83,MATCH(D$103,$A$63:$A$83,0),MATCH($B119,$Q$62:$U$62,0)),0)</f>
        <v/>
      </c>
      <c r="E119" s="41">
        <f>IFERROR(INDEX($Q$63:$U$83,MATCH(E$103,$A$63:$A$83,0),MATCH($B119,$Q$62:$U$62,0)),0)</f>
        <v/>
      </c>
      <c r="F119" s="41">
        <f>IFERROR(INDEX($Q$63:$U$83,MATCH(F$103,$A$63:$A$83,0),MATCH($B119,$Q$62:$U$62,0)),0)</f>
        <v/>
      </c>
      <c r="G119" s="41">
        <f>IFERROR(INDEX($Q$63:$U$83,MATCH(G$103,$A$63:$A$83,0),MATCH($B119,$Q$62:$U$62,0)),0)</f>
        <v/>
      </c>
      <c r="H119" s="41">
        <f>IFERROR(INDEX($Q$63:$U$83,MATCH(H$103,$A$63:$A$83,0),MATCH($B119,$Q$62:$U$62,0)),0)</f>
        <v/>
      </c>
      <c r="I119" s="41">
        <f>IFERROR(INDEX($Q$63:$U$83,MATCH(I$103,$A$63:$A$83,0),MATCH($B119,$Q$62:$U$62,0)),0)</f>
        <v/>
      </c>
      <c r="J119" s="41">
        <f>IFERROR(INDEX($Q$63:$U$83,MATCH(J$103,$A$63:$A$83,0),MATCH($B119,$Q$62:$U$62,0)),0)</f>
        <v/>
      </c>
      <c r="K119" s="41">
        <f>IFERROR(INDEX($Q$63:$U$83,MATCH(K$103,$A$63:$A$83,0),MATCH($B119,$Q$62:$U$62,0)),0)</f>
        <v/>
      </c>
      <c r="L119" s="41">
        <f>IFERROR(INDEX($Q$63:$U$83,MATCH(L$103,$A$63:$A$83,0),MATCH($B119,$Q$62:$U$62,0)),0)</f>
        <v/>
      </c>
      <c r="M119" s="41">
        <f>IFERROR(INDEX($Q$63:$U$83,MATCH(M$103,$A$63:$A$83,0),MATCH($B119,$Q$62:$U$62,0)),0)</f>
        <v/>
      </c>
      <c r="N119" s="41">
        <f>IFERROR(INDEX($Q$63:$U$83,MATCH(N$103,$A$63:$A$83,0),MATCH($B119,$Q$62:$U$62,0)),0)</f>
        <v/>
      </c>
      <c r="O119" s="41">
        <f>IFERROR(INDEX($Q$63:$U$83,MATCH(O$103,$A$63:$A$83,0),MATCH($B119,$Q$62:$U$62,0)),0)</f>
        <v/>
      </c>
      <c r="P119" s="41">
        <f>IFERROR(INDEX($Q$63:$U$83,MATCH(P$103,$A$63:$A$83,0),MATCH($B119,$Q$62:$U$62,0)),0)</f>
        <v/>
      </c>
      <c r="Q119" s="41">
        <f>IFERROR(INDEX($Q$63:$U$83,MATCH(Q$103,$A$63:$A$83,0),MATCH($B119,$Q$62:$U$62,0)),0)</f>
        <v/>
      </c>
      <c r="R119" s="41">
        <f>IFERROR(INDEX($Q$63:$U$83,MATCH(R$103,$A$63:$A$83,0),MATCH($B119,$Q$62:$U$62,0)),0)</f>
        <v/>
      </c>
      <c r="S119" s="41">
        <f>IFERROR(INDEX($Q$63:$U$83,MATCH(S$103,$A$63:$A$83,0),MATCH($B119,$Q$62:$U$62,0)),0)</f>
        <v/>
      </c>
      <c r="T119" s="41">
        <f>IFERROR(INDEX($Q$63:$U$83,MATCH(T$103,$A$63:$A$83,0),MATCH($B119,$Q$62:$U$62,0)),0)</f>
        <v/>
      </c>
      <c r="U119" s="41">
        <f>IFERROR(INDEX($Q$63:$U$83,MATCH(U$103,$A$63:$A$83,0),MATCH($B119,$Q$62:$U$62,0)),0)</f>
        <v/>
      </c>
      <c r="V119" s="41">
        <f>IFERROR(INDEX($Q$63:$U$83,MATCH(V$103,$A$63:$A$83,0),MATCH($B119,$Q$62:$U$62,0)),0)</f>
        <v/>
      </c>
      <c r="W119" s="41">
        <f>IFERROR(INDEX($Q$63:$U$83,MATCH(W$103,$A$63:$A$83,0),MATCH($B119,$Q$62:$U$62,0)),0)</f>
        <v/>
      </c>
    </row>
    <row r="122">
      <c r="A122" s="3" t="inlineStr">
        <is>
          <t>Collection events per funded loan per driver per journey (derived — do not edit)</t>
        </is>
      </c>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28" customHeight="1">
      <c r="A123" s="32" t="inlineStr">
        <is>
          <t>Driver ID</t>
        </is>
      </c>
      <c r="B123" s="32" t="inlineStr">
        <is>
          <t>Collections driver</t>
        </is>
      </c>
      <c r="C123" s="33" t="inlineStr">
        <is>
          <t>personal_loan</t>
        </is>
      </c>
      <c r="D123" s="33" t="inlineStr">
        <is>
          <t>co_lending_programme</t>
        </is>
      </c>
      <c r="E123" s="33" t="inlineStr">
        <is>
          <t>msme_working_capital</t>
        </is>
      </c>
      <c r="F123" s="33" t="inlineStr">
        <is>
          <t>msme_term_loan</t>
        </is>
      </c>
      <c r="G123" s="33" t="inlineStr">
        <is>
          <t>professional_practice_loan</t>
        </is>
      </c>
      <c r="H123" s="33" t="inlineStr">
        <is>
          <t>secured_business_loan</t>
        </is>
      </c>
      <c r="I123" s="33" t="inlineStr">
        <is>
          <t>loan_against_property</t>
        </is>
      </c>
      <c r="J123" s="33" t="inlineStr">
        <is>
          <t>home_loan</t>
        </is>
      </c>
      <c r="K123" s="33" t="inlineStr">
        <is>
          <t>equipment_machinery_finance</t>
        </is>
      </c>
      <c r="L123" s="33" t="inlineStr">
        <is>
          <t>green_equipment_finance</t>
        </is>
      </c>
      <c r="M123" s="33" t="inlineStr">
        <is>
          <t>personal_vehicle_loan</t>
        </is>
      </c>
      <c r="N123" s="33" t="inlineStr">
        <is>
          <t>commercial_vehicle_finance</t>
        </is>
      </c>
      <c r="O123" s="33" t="inlineStr">
        <is>
          <t>gold_loan</t>
        </is>
      </c>
      <c r="P123" s="33" t="inlineStr">
        <is>
          <t>education_loan</t>
        </is>
      </c>
      <c r="Q123" s="33" t="inlineStr">
        <is>
          <t>agriculture_allied_finance</t>
        </is>
      </c>
      <c r="R123" s="33" t="inlineStr">
        <is>
          <t>microfinance_group_lending</t>
        </is>
      </c>
      <c r="S123" s="33" t="inlineStr">
        <is>
          <t>consumer_durable_finance</t>
        </is>
      </c>
      <c r="T123" s="33" t="inlineStr">
        <is>
          <t>invoice_discounting</t>
        </is>
      </c>
      <c r="U123" s="33" t="inlineStr">
        <is>
          <t>purchase_order_finance</t>
        </is>
      </c>
      <c r="V123" s="33" t="inlineStr">
        <is>
          <t>supply_chain_finance</t>
        </is>
      </c>
      <c r="W123" s="33" t="inlineStr">
        <is>
          <t>trade_finance_workflow</t>
        </is>
      </c>
    </row>
    <row r="124">
      <c r="A124" s="18" t="inlineStr">
        <is>
          <t>C01</t>
        </is>
      </c>
      <c r="B124" s="13" t="inlineStr">
        <is>
          <t>Tele-collections (dialer, IVR, agent, recording)</t>
        </is>
      </c>
      <c r="C124" s="43">
        <f>IFERROR('5_Journey_Units_Service'!C24*SUMPRODUCT(INDEX($N$63:$P$83,MATCH(C$123,$A$63:$A$83,0),0),$C$90:$E$90),0)</f>
        <v/>
      </c>
      <c r="D124" s="43">
        <f>IFERROR('5_Journey_Units_Service'!D24*SUMPRODUCT(INDEX($N$63:$P$83,MATCH(D$123,$A$63:$A$83,0),0),$C$90:$E$90),0)</f>
        <v/>
      </c>
      <c r="E124" s="43">
        <f>IFERROR('5_Journey_Units_Service'!E24*SUMPRODUCT(INDEX($N$63:$P$83,MATCH(E$123,$A$63:$A$83,0),0),$C$90:$E$90),0)</f>
        <v/>
      </c>
      <c r="F124" s="43">
        <f>IFERROR('5_Journey_Units_Service'!F24*SUMPRODUCT(INDEX($N$63:$P$83,MATCH(F$123,$A$63:$A$83,0),0),$C$90:$E$90),0)</f>
        <v/>
      </c>
      <c r="G124" s="43">
        <f>IFERROR('5_Journey_Units_Service'!G24*SUMPRODUCT(INDEX($N$63:$P$83,MATCH(G$123,$A$63:$A$83,0),0),$C$90:$E$90),0)</f>
        <v/>
      </c>
      <c r="H124" s="43">
        <f>IFERROR('5_Journey_Units_Service'!H24*SUMPRODUCT(INDEX($N$63:$P$83,MATCH(H$123,$A$63:$A$83,0),0),$C$90:$E$90),0)</f>
        <v/>
      </c>
      <c r="I124" s="43">
        <f>IFERROR('5_Journey_Units_Service'!I24*SUMPRODUCT(INDEX($N$63:$P$83,MATCH(I$123,$A$63:$A$83,0),0),$C$90:$E$90),0)</f>
        <v/>
      </c>
      <c r="J124" s="43">
        <f>IFERROR('5_Journey_Units_Service'!J24*SUMPRODUCT(INDEX($N$63:$P$83,MATCH(J$123,$A$63:$A$83,0),0),$C$90:$E$90),0)</f>
        <v/>
      </c>
      <c r="K124" s="43">
        <f>IFERROR('5_Journey_Units_Service'!K24*SUMPRODUCT(INDEX($N$63:$P$83,MATCH(K$123,$A$63:$A$83,0),0),$C$90:$E$90),0)</f>
        <v/>
      </c>
      <c r="L124" s="43">
        <f>IFERROR('5_Journey_Units_Service'!L24*SUMPRODUCT(INDEX($N$63:$P$83,MATCH(L$123,$A$63:$A$83,0),0),$C$90:$E$90),0)</f>
        <v/>
      </c>
      <c r="M124" s="43">
        <f>IFERROR('5_Journey_Units_Service'!M24*SUMPRODUCT(INDEX($N$63:$P$83,MATCH(M$123,$A$63:$A$83,0),0),$C$90:$E$90),0)</f>
        <v/>
      </c>
      <c r="N124" s="43">
        <f>IFERROR('5_Journey_Units_Service'!N24*SUMPRODUCT(INDEX($N$63:$P$83,MATCH(N$123,$A$63:$A$83,0),0),$C$90:$E$90),0)</f>
        <v/>
      </c>
      <c r="O124" s="43">
        <f>IFERROR('5_Journey_Units_Service'!O24*SUMPRODUCT(INDEX($N$63:$P$83,MATCH(O$123,$A$63:$A$83,0),0),$C$90:$E$90),0)</f>
        <v/>
      </c>
      <c r="P124" s="43">
        <f>IFERROR('5_Journey_Units_Service'!P24*SUMPRODUCT(INDEX($N$63:$P$83,MATCH(P$123,$A$63:$A$83,0),0),$C$90:$E$90),0)</f>
        <v/>
      </c>
      <c r="Q124" s="43">
        <f>IFERROR('5_Journey_Units_Service'!Q24*SUMPRODUCT(INDEX($N$63:$P$83,MATCH(Q$123,$A$63:$A$83,0),0),$C$90:$E$90),0)</f>
        <v/>
      </c>
      <c r="R124" s="43">
        <f>IFERROR('5_Journey_Units_Service'!R24*SUMPRODUCT(INDEX($N$63:$P$83,MATCH(R$123,$A$63:$A$83,0),0),$C$90:$E$90),0)</f>
        <v/>
      </c>
      <c r="S124" s="43">
        <f>IFERROR('5_Journey_Units_Service'!S24*SUMPRODUCT(INDEX($N$63:$P$83,MATCH(S$123,$A$63:$A$83,0),0),$C$90:$E$90),0)</f>
        <v/>
      </c>
      <c r="T124" s="43">
        <f>IFERROR('5_Journey_Units_Service'!T24*SUMPRODUCT(INDEX($N$63:$P$83,MATCH(T$123,$A$63:$A$83,0),0),$C$90:$E$90),0)</f>
        <v/>
      </c>
      <c r="U124" s="43">
        <f>IFERROR('5_Journey_Units_Service'!U24*SUMPRODUCT(INDEX($N$63:$P$83,MATCH(U$123,$A$63:$A$83,0),0),$C$90:$E$90),0)</f>
        <v/>
      </c>
      <c r="V124" s="43">
        <f>IFERROR('5_Journey_Units_Service'!V24*SUMPRODUCT(INDEX($N$63:$P$83,MATCH(V$123,$A$63:$A$83,0),0),$C$90:$E$90),0)</f>
        <v/>
      </c>
      <c r="W124" s="43">
        <f>IFERROR('5_Journey_Units_Service'!W24*SUMPRODUCT(INDEX($N$63:$P$83,MATCH(W$123,$A$63:$A$83,0),0),$C$90:$E$90),0)</f>
        <v/>
      </c>
    </row>
    <row r="125">
      <c r="A125" s="18" t="inlineStr">
        <is>
          <t>C02</t>
        </is>
      </c>
      <c r="B125" s="13" t="inlineStr">
        <is>
          <t>Digital collection retry (UPI / link / NACH)</t>
        </is>
      </c>
      <c r="C125" s="43">
        <f>IFERROR('5_Journey_Units_Service'!C25*SUMPRODUCT(INDEX($N$63:$P$83,MATCH(C$123,$A$63:$A$83,0),0),$C$91:$E$91),0)</f>
        <v/>
      </c>
      <c r="D125" s="43">
        <f>IFERROR('5_Journey_Units_Service'!D25*SUMPRODUCT(INDEX($N$63:$P$83,MATCH(D$123,$A$63:$A$83,0),0),$C$91:$E$91),0)</f>
        <v/>
      </c>
      <c r="E125" s="43">
        <f>IFERROR('5_Journey_Units_Service'!E25*SUMPRODUCT(INDEX($N$63:$P$83,MATCH(E$123,$A$63:$A$83,0),0),$C$91:$E$91),0)</f>
        <v/>
      </c>
      <c r="F125" s="43">
        <f>IFERROR('5_Journey_Units_Service'!F25*SUMPRODUCT(INDEX($N$63:$P$83,MATCH(F$123,$A$63:$A$83,0),0),$C$91:$E$91),0)</f>
        <v/>
      </c>
      <c r="G125" s="43">
        <f>IFERROR('5_Journey_Units_Service'!G25*SUMPRODUCT(INDEX($N$63:$P$83,MATCH(G$123,$A$63:$A$83,0),0),$C$91:$E$91),0)</f>
        <v/>
      </c>
      <c r="H125" s="43">
        <f>IFERROR('5_Journey_Units_Service'!H25*SUMPRODUCT(INDEX($N$63:$P$83,MATCH(H$123,$A$63:$A$83,0),0),$C$91:$E$91),0)</f>
        <v/>
      </c>
      <c r="I125" s="43">
        <f>IFERROR('5_Journey_Units_Service'!I25*SUMPRODUCT(INDEX($N$63:$P$83,MATCH(I$123,$A$63:$A$83,0),0),$C$91:$E$91),0)</f>
        <v/>
      </c>
      <c r="J125" s="43">
        <f>IFERROR('5_Journey_Units_Service'!J25*SUMPRODUCT(INDEX($N$63:$P$83,MATCH(J$123,$A$63:$A$83,0),0),$C$91:$E$91),0)</f>
        <v/>
      </c>
      <c r="K125" s="43">
        <f>IFERROR('5_Journey_Units_Service'!K25*SUMPRODUCT(INDEX($N$63:$P$83,MATCH(K$123,$A$63:$A$83,0),0),$C$91:$E$91),0)</f>
        <v/>
      </c>
      <c r="L125" s="43">
        <f>IFERROR('5_Journey_Units_Service'!L25*SUMPRODUCT(INDEX($N$63:$P$83,MATCH(L$123,$A$63:$A$83,0),0),$C$91:$E$91),0)</f>
        <v/>
      </c>
      <c r="M125" s="43">
        <f>IFERROR('5_Journey_Units_Service'!M25*SUMPRODUCT(INDEX($N$63:$P$83,MATCH(M$123,$A$63:$A$83,0),0),$C$91:$E$91),0)</f>
        <v/>
      </c>
      <c r="N125" s="43">
        <f>IFERROR('5_Journey_Units_Service'!N25*SUMPRODUCT(INDEX($N$63:$P$83,MATCH(N$123,$A$63:$A$83,0),0),$C$91:$E$91),0)</f>
        <v/>
      </c>
      <c r="O125" s="43">
        <f>IFERROR('5_Journey_Units_Service'!O25*SUMPRODUCT(INDEX($N$63:$P$83,MATCH(O$123,$A$63:$A$83,0),0),$C$91:$E$91),0)</f>
        <v/>
      </c>
      <c r="P125" s="43">
        <f>IFERROR('5_Journey_Units_Service'!P25*SUMPRODUCT(INDEX($N$63:$P$83,MATCH(P$123,$A$63:$A$83,0),0),$C$91:$E$91),0)</f>
        <v/>
      </c>
      <c r="Q125" s="43">
        <f>IFERROR('5_Journey_Units_Service'!Q25*SUMPRODUCT(INDEX($N$63:$P$83,MATCH(Q$123,$A$63:$A$83,0),0),$C$91:$E$91),0)</f>
        <v/>
      </c>
      <c r="R125" s="43">
        <f>IFERROR('5_Journey_Units_Service'!R25*SUMPRODUCT(INDEX($N$63:$P$83,MATCH(R$123,$A$63:$A$83,0),0),$C$91:$E$91),0)</f>
        <v/>
      </c>
      <c r="S125" s="43">
        <f>IFERROR('5_Journey_Units_Service'!S25*SUMPRODUCT(INDEX($N$63:$P$83,MATCH(S$123,$A$63:$A$83,0),0),$C$91:$E$91),0)</f>
        <v/>
      </c>
      <c r="T125" s="43">
        <f>IFERROR('5_Journey_Units_Service'!T25*SUMPRODUCT(INDEX($N$63:$P$83,MATCH(T$123,$A$63:$A$83,0),0),$C$91:$E$91),0)</f>
        <v/>
      </c>
      <c r="U125" s="43">
        <f>IFERROR('5_Journey_Units_Service'!U25*SUMPRODUCT(INDEX($N$63:$P$83,MATCH(U$123,$A$63:$A$83,0),0),$C$91:$E$91),0)</f>
        <v/>
      </c>
      <c r="V125" s="43">
        <f>IFERROR('5_Journey_Units_Service'!V25*SUMPRODUCT(INDEX($N$63:$P$83,MATCH(V$123,$A$63:$A$83,0),0),$C$91:$E$91),0)</f>
        <v/>
      </c>
      <c r="W125" s="43">
        <f>IFERROR('5_Journey_Units_Service'!W25*SUMPRODUCT(INDEX($N$63:$P$83,MATCH(W$123,$A$63:$A$83,0),0),$C$91:$E$91),0)</f>
        <v/>
      </c>
    </row>
    <row r="126">
      <c r="A126" s="18" t="inlineStr">
        <is>
          <t>C03</t>
        </is>
      </c>
      <c r="B126" s="13" t="inlineStr">
        <is>
          <t>Field collection visit</t>
        </is>
      </c>
      <c r="C126" s="43">
        <f>IFERROR('5_Journey_Units_Service'!C26*SUMPRODUCT(INDEX($N$63:$P$83,MATCH(C$123,$A$63:$A$83,0),0),$C$92:$E$92),0)</f>
        <v/>
      </c>
      <c r="D126" s="43">
        <f>IFERROR('5_Journey_Units_Service'!D26*SUMPRODUCT(INDEX($N$63:$P$83,MATCH(D$123,$A$63:$A$83,0),0),$C$92:$E$92),0)</f>
        <v/>
      </c>
      <c r="E126" s="43">
        <f>IFERROR('5_Journey_Units_Service'!E26*SUMPRODUCT(INDEX($N$63:$P$83,MATCH(E$123,$A$63:$A$83,0),0),$C$92:$E$92),0)</f>
        <v/>
      </c>
      <c r="F126" s="43">
        <f>IFERROR('5_Journey_Units_Service'!F26*SUMPRODUCT(INDEX($N$63:$P$83,MATCH(F$123,$A$63:$A$83,0),0),$C$92:$E$92),0)</f>
        <v/>
      </c>
      <c r="G126" s="43">
        <f>IFERROR('5_Journey_Units_Service'!G26*SUMPRODUCT(INDEX($N$63:$P$83,MATCH(G$123,$A$63:$A$83,0),0),$C$92:$E$92),0)</f>
        <v/>
      </c>
      <c r="H126" s="43">
        <f>IFERROR('5_Journey_Units_Service'!H26*SUMPRODUCT(INDEX($N$63:$P$83,MATCH(H$123,$A$63:$A$83,0),0),$C$92:$E$92),0)</f>
        <v/>
      </c>
      <c r="I126" s="43">
        <f>IFERROR('5_Journey_Units_Service'!I26*SUMPRODUCT(INDEX($N$63:$P$83,MATCH(I$123,$A$63:$A$83,0),0),$C$92:$E$92),0)</f>
        <v/>
      </c>
      <c r="J126" s="43">
        <f>IFERROR('5_Journey_Units_Service'!J26*SUMPRODUCT(INDEX($N$63:$P$83,MATCH(J$123,$A$63:$A$83,0),0),$C$92:$E$92),0)</f>
        <v/>
      </c>
      <c r="K126" s="43">
        <f>IFERROR('5_Journey_Units_Service'!K26*SUMPRODUCT(INDEX($N$63:$P$83,MATCH(K$123,$A$63:$A$83,0),0),$C$92:$E$92),0)</f>
        <v/>
      </c>
      <c r="L126" s="43">
        <f>IFERROR('5_Journey_Units_Service'!L26*SUMPRODUCT(INDEX($N$63:$P$83,MATCH(L$123,$A$63:$A$83,0),0),$C$92:$E$92),0)</f>
        <v/>
      </c>
      <c r="M126" s="43">
        <f>IFERROR('5_Journey_Units_Service'!M26*SUMPRODUCT(INDEX($N$63:$P$83,MATCH(M$123,$A$63:$A$83,0),0),$C$92:$E$92),0)</f>
        <v/>
      </c>
      <c r="N126" s="43">
        <f>IFERROR('5_Journey_Units_Service'!N26*SUMPRODUCT(INDEX($N$63:$P$83,MATCH(N$123,$A$63:$A$83,0),0),$C$92:$E$92),0)</f>
        <v/>
      </c>
      <c r="O126" s="43">
        <f>IFERROR('5_Journey_Units_Service'!O26*SUMPRODUCT(INDEX($N$63:$P$83,MATCH(O$123,$A$63:$A$83,0),0),$C$92:$E$92),0)</f>
        <v/>
      </c>
      <c r="P126" s="43">
        <f>IFERROR('5_Journey_Units_Service'!P26*SUMPRODUCT(INDEX($N$63:$P$83,MATCH(P$123,$A$63:$A$83,0),0),$C$92:$E$92),0)</f>
        <v/>
      </c>
      <c r="Q126" s="43">
        <f>IFERROR('5_Journey_Units_Service'!Q26*SUMPRODUCT(INDEX($N$63:$P$83,MATCH(Q$123,$A$63:$A$83,0),0),$C$92:$E$92),0)</f>
        <v/>
      </c>
      <c r="R126" s="43">
        <f>IFERROR('5_Journey_Units_Service'!R26*SUMPRODUCT(INDEX($N$63:$P$83,MATCH(R$123,$A$63:$A$83,0),0),$C$92:$E$92),0)</f>
        <v/>
      </c>
      <c r="S126" s="43">
        <f>IFERROR('5_Journey_Units_Service'!S26*SUMPRODUCT(INDEX($N$63:$P$83,MATCH(S$123,$A$63:$A$83,0),0),$C$92:$E$92),0)</f>
        <v/>
      </c>
      <c r="T126" s="43">
        <f>IFERROR('5_Journey_Units_Service'!T26*SUMPRODUCT(INDEX($N$63:$P$83,MATCH(T$123,$A$63:$A$83,0),0),$C$92:$E$92),0)</f>
        <v/>
      </c>
      <c r="U126" s="43">
        <f>IFERROR('5_Journey_Units_Service'!U26*SUMPRODUCT(INDEX($N$63:$P$83,MATCH(U$123,$A$63:$A$83,0),0),$C$92:$E$92),0)</f>
        <v/>
      </c>
      <c r="V126" s="43">
        <f>IFERROR('5_Journey_Units_Service'!V26*SUMPRODUCT(INDEX($N$63:$P$83,MATCH(V$123,$A$63:$A$83,0),0),$C$92:$E$92),0)</f>
        <v/>
      </c>
      <c r="W126" s="43">
        <f>IFERROR('5_Journey_Units_Service'!W26*SUMPRODUCT(INDEX($N$63:$P$83,MATCH(W$123,$A$63:$A$83,0),0),$C$92:$E$92),0)</f>
        <v/>
      </c>
    </row>
    <row r="127">
      <c r="A127" s="18" t="inlineStr">
        <is>
          <t>C04</t>
        </is>
      </c>
      <c r="B127" s="13" t="inlineStr">
        <is>
          <t>Agency oversight, roster and invoice handling</t>
        </is>
      </c>
      <c r="C127" s="43">
        <f>IFERROR('5_Journey_Units_Service'!C27*SUMPRODUCT(INDEX($N$63:$P$83,MATCH(C$123,$A$63:$A$83,0),0),$C$93:$E$93),0)</f>
        <v/>
      </c>
      <c r="D127" s="43">
        <f>IFERROR('5_Journey_Units_Service'!D27*SUMPRODUCT(INDEX($N$63:$P$83,MATCH(D$123,$A$63:$A$83,0),0),$C$93:$E$93),0)</f>
        <v/>
      </c>
      <c r="E127" s="43">
        <f>IFERROR('5_Journey_Units_Service'!E27*SUMPRODUCT(INDEX($N$63:$P$83,MATCH(E$123,$A$63:$A$83,0),0),$C$93:$E$93),0)</f>
        <v/>
      </c>
      <c r="F127" s="43">
        <f>IFERROR('5_Journey_Units_Service'!F27*SUMPRODUCT(INDEX($N$63:$P$83,MATCH(F$123,$A$63:$A$83,0),0),$C$93:$E$93),0)</f>
        <v/>
      </c>
      <c r="G127" s="43">
        <f>IFERROR('5_Journey_Units_Service'!G27*SUMPRODUCT(INDEX($N$63:$P$83,MATCH(G$123,$A$63:$A$83,0),0),$C$93:$E$93),0)</f>
        <v/>
      </c>
      <c r="H127" s="43">
        <f>IFERROR('5_Journey_Units_Service'!H27*SUMPRODUCT(INDEX($N$63:$P$83,MATCH(H$123,$A$63:$A$83,0),0),$C$93:$E$93),0)</f>
        <v/>
      </c>
      <c r="I127" s="43">
        <f>IFERROR('5_Journey_Units_Service'!I27*SUMPRODUCT(INDEX($N$63:$P$83,MATCH(I$123,$A$63:$A$83,0),0),$C$93:$E$93),0)</f>
        <v/>
      </c>
      <c r="J127" s="43">
        <f>IFERROR('5_Journey_Units_Service'!J27*SUMPRODUCT(INDEX($N$63:$P$83,MATCH(J$123,$A$63:$A$83,0),0),$C$93:$E$93),0)</f>
        <v/>
      </c>
      <c r="K127" s="43">
        <f>IFERROR('5_Journey_Units_Service'!K27*SUMPRODUCT(INDEX($N$63:$P$83,MATCH(K$123,$A$63:$A$83,0),0),$C$93:$E$93),0)</f>
        <v/>
      </c>
      <c r="L127" s="43">
        <f>IFERROR('5_Journey_Units_Service'!L27*SUMPRODUCT(INDEX($N$63:$P$83,MATCH(L$123,$A$63:$A$83,0),0),$C$93:$E$93),0)</f>
        <v/>
      </c>
      <c r="M127" s="43">
        <f>IFERROR('5_Journey_Units_Service'!M27*SUMPRODUCT(INDEX($N$63:$P$83,MATCH(M$123,$A$63:$A$83,0),0),$C$93:$E$93),0)</f>
        <v/>
      </c>
      <c r="N127" s="43">
        <f>IFERROR('5_Journey_Units_Service'!N27*SUMPRODUCT(INDEX($N$63:$P$83,MATCH(N$123,$A$63:$A$83,0),0),$C$93:$E$93),0)</f>
        <v/>
      </c>
      <c r="O127" s="43">
        <f>IFERROR('5_Journey_Units_Service'!O27*SUMPRODUCT(INDEX($N$63:$P$83,MATCH(O$123,$A$63:$A$83,0),0),$C$93:$E$93),0)</f>
        <v/>
      </c>
      <c r="P127" s="43">
        <f>IFERROR('5_Journey_Units_Service'!P27*SUMPRODUCT(INDEX($N$63:$P$83,MATCH(P$123,$A$63:$A$83,0),0),$C$93:$E$93),0)</f>
        <v/>
      </c>
      <c r="Q127" s="43">
        <f>IFERROR('5_Journey_Units_Service'!Q27*SUMPRODUCT(INDEX($N$63:$P$83,MATCH(Q$123,$A$63:$A$83,0),0),$C$93:$E$93),0)</f>
        <v/>
      </c>
      <c r="R127" s="43">
        <f>IFERROR('5_Journey_Units_Service'!R27*SUMPRODUCT(INDEX($N$63:$P$83,MATCH(R$123,$A$63:$A$83,0),0),$C$93:$E$93),0)</f>
        <v/>
      </c>
      <c r="S127" s="43">
        <f>IFERROR('5_Journey_Units_Service'!S27*SUMPRODUCT(INDEX($N$63:$P$83,MATCH(S$123,$A$63:$A$83,0),0),$C$93:$E$93),0)</f>
        <v/>
      </c>
      <c r="T127" s="43">
        <f>IFERROR('5_Journey_Units_Service'!T27*SUMPRODUCT(INDEX($N$63:$P$83,MATCH(T$123,$A$63:$A$83,0),0),$C$93:$E$93),0)</f>
        <v/>
      </c>
      <c r="U127" s="43">
        <f>IFERROR('5_Journey_Units_Service'!U27*SUMPRODUCT(INDEX($N$63:$P$83,MATCH(U$123,$A$63:$A$83,0),0),$C$93:$E$93),0)</f>
        <v/>
      </c>
      <c r="V127" s="43">
        <f>IFERROR('5_Journey_Units_Service'!V27*SUMPRODUCT(INDEX($N$63:$P$83,MATCH(V$123,$A$63:$A$83,0),0),$C$93:$E$93),0)</f>
        <v/>
      </c>
      <c r="W127" s="43">
        <f>IFERROR('5_Journey_Units_Service'!W27*SUMPRODUCT(INDEX($N$63:$P$83,MATCH(W$123,$A$63:$A$83,0),0),$C$93:$E$93),0)</f>
        <v/>
      </c>
    </row>
    <row r="128">
      <c r="A128" s="18" t="inlineStr">
        <is>
          <t>C05</t>
        </is>
      </c>
      <c r="B128" s="13" t="inlineStr">
        <is>
          <t>Legal case filing and eCourts tracking</t>
        </is>
      </c>
      <c r="C128" s="43">
        <f>IFERROR('5_Journey_Units_Service'!C28*SUMPRODUCT(INDEX($N$63:$P$83,MATCH(C$123,$A$63:$A$83,0),0),$C$94:$E$94),0)</f>
        <v/>
      </c>
      <c r="D128" s="43">
        <f>IFERROR('5_Journey_Units_Service'!D28*SUMPRODUCT(INDEX($N$63:$P$83,MATCH(D$123,$A$63:$A$83,0),0),$C$94:$E$94),0)</f>
        <v/>
      </c>
      <c r="E128" s="43">
        <f>IFERROR('5_Journey_Units_Service'!E28*SUMPRODUCT(INDEX($N$63:$P$83,MATCH(E$123,$A$63:$A$83,0),0),$C$94:$E$94),0)</f>
        <v/>
      </c>
      <c r="F128" s="43">
        <f>IFERROR('5_Journey_Units_Service'!F28*SUMPRODUCT(INDEX($N$63:$P$83,MATCH(F$123,$A$63:$A$83,0),0),$C$94:$E$94),0)</f>
        <v/>
      </c>
      <c r="G128" s="43">
        <f>IFERROR('5_Journey_Units_Service'!G28*SUMPRODUCT(INDEX($N$63:$P$83,MATCH(G$123,$A$63:$A$83,0),0),$C$94:$E$94),0)</f>
        <v/>
      </c>
      <c r="H128" s="43">
        <f>IFERROR('5_Journey_Units_Service'!H28*SUMPRODUCT(INDEX($N$63:$P$83,MATCH(H$123,$A$63:$A$83,0),0),$C$94:$E$94),0)</f>
        <v/>
      </c>
      <c r="I128" s="43">
        <f>IFERROR('5_Journey_Units_Service'!I28*SUMPRODUCT(INDEX($N$63:$P$83,MATCH(I$123,$A$63:$A$83,0),0),$C$94:$E$94),0)</f>
        <v/>
      </c>
      <c r="J128" s="43">
        <f>IFERROR('5_Journey_Units_Service'!J28*SUMPRODUCT(INDEX($N$63:$P$83,MATCH(J$123,$A$63:$A$83,0),0),$C$94:$E$94),0)</f>
        <v/>
      </c>
      <c r="K128" s="43">
        <f>IFERROR('5_Journey_Units_Service'!K28*SUMPRODUCT(INDEX($N$63:$P$83,MATCH(K$123,$A$63:$A$83,0),0),$C$94:$E$94),0)</f>
        <v/>
      </c>
      <c r="L128" s="43">
        <f>IFERROR('5_Journey_Units_Service'!L28*SUMPRODUCT(INDEX($N$63:$P$83,MATCH(L$123,$A$63:$A$83,0),0),$C$94:$E$94),0)</f>
        <v/>
      </c>
      <c r="M128" s="43">
        <f>IFERROR('5_Journey_Units_Service'!M28*SUMPRODUCT(INDEX($N$63:$P$83,MATCH(M$123,$A$63:$A$83,0),0),$C$94:$E$94),0)</f>
        <v/>
      </c>
      <c r="N128" s="43">
        <f>IFERROR('5_Journey_Units_Service'!N28*SUMPRODUCT(INDEX($N$63:$P$83,MATCH(N$123,$A$63:$A$83,0),0),$C$94:$E$94),0)</f>
        <v/>
      </c>
      <c r="O128" s="43">
        <f>IFERROR('5_Journey_Units_Service'!O28*SUMPRODUCT(INDEX($N$63:$P$83,MATCH(O$123,$A$63:$A$83,0),0),$C$94:$E$94),0)</f>
        <v/>
      </c>
      <c r="P128" s="43">
        <f>IFERROR('5_Journey_Units_Service'!P28*SUMPRODUCT(INDEX($N$63:$P$83,MATCH(P$123,$A$63:$A$83,0),0),$C$94:$E$94),0)</f>
        <v/>
      </c>
      <c r="Q128" s="43">
        <f>IFERROR('5_Journey_Units_Service'!Q28*SUMPRODUCT(INDEX($N$63:$P$83,MATCH(Q$123,$A$63:$A$83,0),0),$C$94:$E$94),0)</f>
        <v/>
      </c>
      <c r="R128" s="43">
        <f>IFERROR('5_Journey_Units_Service'!R28*SUMPRODUCT(INDEX($N$63:$P$83,MATCH(R$123,$A$63:$A$83,0),0),$C$94:$E$94),0)</f>
        <v/>
      </c>
      <c r="S128" s="43">
        <f>IFERROR('5_Journey_Units_Service'!S28*SUMPRODUCT(INDEX($N$63:$P$83,MATCH(S$123,$A$63:$A$83,0),0),$C$94:$E$94),0)</f>
        <v/>
      </c>
      <c r="T128" s="43">
        <f>IFERROR('5_Journey_Units_Service'!T28*SUMPRODUCT(INDEX($N$63:$P$83,MATCH(T$123,$A$63:$A$83,0),0),$C$94:$E$94),0)</f>
        <v/>
      </c>
      <c r="U128" s="43">
        <f>IFERROR('5_Journey_Units_Service'!U28*SUMPRODUCT(INDEX($N$63:$P$83,MATCH(U$123,$A$63:$A$83,0),0),$C$94:$E$94),0)</f>
        <v/>
      </c>
      <c r="V128" s="43">
        <f>IFERROR('5_Journey_Units_Service'!V28*SUMPRODUCT(INDEX($N$63:$P$83,MATCH(V$123,$A$63:$A$83,0),0),$C$94:$E$94),0)</f>
        <v/>
      </c>
      <c r="W128" s="43">
        <f>IFERROR('5_Journey_Units_Service'!W28*SUMPRODUCT(INDEX($N$63:$P$83,MATCH(W$123,$A$63:$A$83,0),0),$C$94:$E$94),0)</f>
        <v/>
      </c>
    </row>
    <row r="129">
      <c r="A129" s="18" t="inlineStr">
        <is>
          <t>C06</t>
        </is>
      </c>
      <c r="B129" s="13" t="inlineStr">
        <is>
          <t>Security enforcement (notice, possession, custodian)</t>
        </is>
      </c>
      <c r="C129" s="43">
        <f>IFERROR('5_Journey_Units_Service'!C29*SUMPRODUCT(INDEX($N$63:$P$83,MATCH(C$123,$A$63:$A$83,0),0),$C$95:$E$95),0)</f>
        <v/>
      </c>
      <c r="D129" s="43">
        <f>IFERROR('5_Journey_Units_Service'!D29*SUMPRODUCT(INDEX($N$63:$P$83,MATCH(D$123,$A$63:$A$83,0),0),$C$95:$E$95),0)</f>
        <v/>
      </c>
      <c r="E129" s="43">
        <f>IFERROR('5_Journey_Units_Service'!E29*SUMPRODUCT(INDEX($N$63:$P$83,MATCH(E$123,$A$63:$A$83,0),0),$C$95:$E$95),0)</f>
        <v/>
      </c>
      <c r="F129" s="43">
        <f>IFERROR('5_Journey_Units_Service'!F29*SUMPRODUCT(INDEX($N$63:$P$83,MATCH(F$123,$A$63:$A$83,0),0),$C$95:$E$95),0)</f>
        <v/>
      </c>
      <c r="G129" s="43">
        <f>IFERROR('5_Journey_Units_Service'!G29*SUMPRODUCT(INDEX($N$63:$P$83,MATCH(G$123,$A$63:$A$83,0),0),$C$95:$E$95),0)</f>
        <v/>
      </c>
      <c r="H129" s="43">
        <f>IFERROR('5_Journey_Units_Service'!H29*SUMPRODUCT(INDEX($N$63:$P$83,MATCH(H$123,$A$63:$A$83,0),0),$C$95:$E$95),0)</f>
        <v/>
      </c>
      <c r="I129" s="43">
        <f>IFERROR('5_Journey_Units_Service'!I29*SUMPRODUCT(INDEX($N$63:$P$83,MATCH(I$123,$A$63:$A$83,0),0),$C$95:$E$95),0)</f>
        <v/>
      </c>
      <c r="J129" s="43">
        <f>IFERROR('5_Journey_Units_Service'!J29*SUMPRODUCT(INDEX($N$63:$P$83,MATCH(J$123,$A$63:$A$83,0),0),$C$95:$E$95),0)</f>
        <v/>
      </c>
      <c r="K129" s="43">
        <f>IFERROR('5_Journey_Units_Service'!K29*SUMPRODUCT(INDEX($N$63:$P$83,MATCH(K$123,$A$63:$A$83,0),0),$C$95:$E$95),0)</f>
        <v/>
      </c>
      <c r="L129" s="43">
        <f>IFERROR('5_Journey_Units_Service'!L29*SUMPRODUCT(INDEX($N$63:$P$83,MATCH(L$123,$A$63:$A$83,0),0),$C$95:$E$95),0)</f>
        <v/>
      </c>
      <c r="M129" s="43">
        <f>IFERROR('5_Journey_Units_Service'!M29*SUMPRODUCT(INDEX($N$63:$P$83,MATCH(M$123,$A$63:$A$83,0),0),$C$95:$E$95),0)</f>
        <v/>
      </c>
      <c r="N129" s="43">
        <f>IFERROR('5_Journey_Units_Service'!N29*SUMPRODUCT(INDEX($N$63:$P$83,MATCH(N$123,$A$63:$A$83,0),0),$C$95:$E$95),0)</f>
        <v/>
      </c>
      <c r="O129" s="43">
        <f>IFERROR('5_Journey_Units_Service'!O29*SUMPRODUCT(INDEX($N$63:$P$83,MATCH(O$123,$A$63:$A$83,0),0),$C$95:$E$95),0)</f>
        <v/>
      </c>
      <c r="P129" s="43">
        <f>IFERROR('5_Journey_Units_Service'!P29*SUMPRODUCT(INDEX($N$63:$P$83,MATCH(P$123,$A$63:$A$83,0),0),$C$95:$E$95),0)</f>
        <v/>
      </c>
      <c r="Q129" s="43">
        <f>IFERROR('5_Journey_Units_Service'!Q29*SUMPRODUCT(INDEX($N$63:$P$83,MATCH(Q$123,$A$63:$A$83,0),0),$C$95:$E$95),0)</f>
        <v/>
      </c>
      <c r="R129" s="43">
        <f>IFERROR('5_Journey_Units_Service'!R29*SUMPRODUCT(INDEX($N$63:$P$83,MATCH(R$123,$A$63:$A$83,0),0),$C$95:$E$95),0)</f>
        <v/>
      </c>
      <c r="S129" s="43">
        <f>IFERROR('5_Journey_Units_Service'!S29*SUMPRODUCT(INDEX($N$63:$P$83,MATCH(S$123,$A$63:$A$83,0),0),$C$95:$E$95),0)</f>
        <v/>
      </c>
      <c r="T129" s="43">
        <f>IFERROR('5_Journey_Units_Service'!T29*SUMPRODUCT(INDEX($N$63:$P$83,MATCH(T$123,$A$63:$A$83,0),0),$C$95:$E$95),0)</f>
        <v/>
      </c>
      <c r="U129" s="43">
        <f>IFERROR('5_Journey_Units_Service'!U29*SUMPRODUCT(INDEX($N$63:$P$83,MATCH(U$123,$A$63:$A$83,0),0),$C$95:$E$95),0)</f>
        <v/>
      </c>
      <c r="V129" s="43">
        <f>IFERROR('5_Journey_Units_Service'!V29*SUMPRODUCT(INDEX($N$63:$P$83,MATCH(V$123,$A$63:$A$83,0),0),$C$95:$E$95),0)</f>
        <v/>
      </c>
      <c r="W129" s="43">
        <f>IFERROR('5_Journey_Units_Service'!W29*SUMPRODUCT(INDEX($N$63:$P$83,MATCH(W$123,$A$63:$A$83,0),0),$C$95:$E$95),0)</f>
        <v/>
      </c>
    </row>
    <row r="130">
      <c r="A130" s="18" t="inlineStr">
        <is>
          <t>C07</t>
        </is>
      </c>
      <c r="B130" s="13" t="inlineStr">
        <is>
          <t>Auction (publish, bidder KYC, certificate)</t>
        </is>
      </c>
      <c r="C130" s="43">
        <f>IFERROR('5_Journey_Units_Service'!C30*SUMPRODUCT(INDEX($N$63:$P$83,MATCH(C$123,$A$63:$A$83,0),0),$C$96:$E$96),0)</f>
        <v/>
      </c>
      <c r="D130" s="43">
        <f>IFERROR('5_Journey_Units_Service'!D30*SUMPRODUCT(INDEX($N$63:$P$83,MATCH(D$123,$A$63:$A$83,0),0),$C$96:$E$96),0)</f>
        <v/>
      </c>
      <c r="E130" s="43">
        <f>IFERROR('5_Journey_Units_Service'!E30*SUMPRODUCT(INDEX($N$63:$P$83,MATCH(E$123,$A$63:$A$83,0),0),$C$96:$E$96),0)</f>
        <v/>
      </c>
      <c r="F130" s="43">
        <f>IFERROR('5_Journey_Units_Service'!F30*SUMPRODUCT(INDEX($N$63:$P$83,MATCH(F$123,$A$63:$A$83,0),0),$C$96:$E$96),0)</f>
        <v/>
      </c>
      <c r="G130" s="43">
        <f>IFERROR('5_Journey_Units_Service'!G30*SUMPRODUCT(INDEX($N$63:$P$83,MATCH(G$123,$A$63:$A$83,0),0),$C$96:$E$96),0)</f>
        <v/>
      </c>
      <c r="H130" s="43">
        <f>IFERROR('5_Journey_Units_Service'!H30*SUMPRODUCT(INDEX($N$63:$P$83,MATCH(H$123,$A$63:$A$83,0),0),$C$96:$E$96),0)</f>
        <v/>
      </c>
      <c r="I130" s="43">
        <f>IFERROR('5_Journey_Units_Service'!I30*SUMPRODUCT(INDEX($N$63:$P$83,MATCH(I$123,$A$63:$A$83,0),0),$C$96:$E$96),0)</f>
        <v/>
      </c>
      <c r="J130" s="43">
        <f>IFERROR('5_Journey_Units_Service'!J30*SUMPRODUCT(INDEX($N$63:$P$83,MATCH(J$123,$A$63:$A$83,0),0),$C$96:$E$96),0)</f>
        <v/>
      </c>
      <c r="K130" s="43">
        <f>IFERROR('5_Journey_Units_Service'!K30*SUMPRODUCT(INDEX($N$63:$P$83,MATCH(K$123,$A$63:$A$83,0),0),$C$96:$E$96),0)</f>
        <v/>
      </c>
      <c r="L130" s="43">
        <f>IFERROR('5_Journey_Units_Service'!L30*SUMPRODUCT(INDEX($N$63:$P$83,MATCH(L$123,$A$63:$A$83,0),0),$C$96:$E$96),0)</f>
        <v/>
      </c>
      <c r="M130" s="43">
        <f>IFERROR('5_Journey_Units_Service'!M30*SUMPRODUCT(INDEX($N$63:$P$83,MATCH(M$123,$A$63:$A$83,0),0),$C$96:$E$96),0)</f>
        <v/>
      </c>
      <c r="N130" s="43">
        <f>IFERROR('5_Journey_Units_Service'!N30*SUMPRODUCT(INDEX($N$63:$P$83,MATCH(N$123,$A$63:$A$83,0),0),$C$96:$E$96),0)</f>
        <v/>
      </c>
      <c r="O130" s="43">
        <f>IFERROR('5_Journey_Units_Service'!O30*SUMPRODUCT(INDEX($N$63:$P$83,MATCH(O$123,$A$63:$A$83,0),0),$C$96:$E$96),0)</f>
        <v/>
      </c>
      <c r="P130" s="43">
        <f>IFERROR('5_Journey_Units_Service'!P30*SUMPRODUCT(INDEX($N$63:$P$83,MATCH(P$123,$A$63:$A$83,0),0),$C$96:$E$96),0)</f>
        <v/>
      </c>
      <c r="Q130" s="43">
        <f>IFERROR('5_Journey_Units_Service'!Q30*SUMPRODUCT(INDEX($N$63:$P$83,MATCH(Q$123,$A$63:$A$83,0),0),$C$96:$E$96),0)</f>
        <v/>
      </c>
      <c r="R130" s="43">
        <f>IFERROR('5_Journey_Units_Service'!R30*SUMPRODUCT(INDEX($N$63:$P$83,MATCH(R$123,$A$63:$A$83,0),0),$C$96:$E$96),0)</f>
        <v/>
      </c>
      <c r="S130" s="43">
        <f>IFERROR('5_Journey_Units_Service'!S30*SUMPRODUCT(INDEX($N$63:$P$83,MATCH(S$123,$A$63:$A$83,0),0),$C$96:$E$96),0)</f>
        <v/>
      </c>
      <c r="T130" s="43">
        <f>IFERROR('5_Journey_Units_Service'!T30*SUMPRODUCT(INDEX($N$63:$P$83,MATCH(T$123,$A$63:$A$83,0),0),$C$96:$E$96),0)</f>
        <v/>
      </c>
      <c r="U130" s="43">
        <f>IFERROR('5_Journey_Units_Service'!U30*SUMPRODUCT(INDEX($N$63:$P$83,MATCH(U$123,$A$63:$A$83,0),0),$C$96:$E$96),0)</f>
        <v/>
      </c>
      <c r="V130" s="43">
        <f>IFERROR('5_Journey_Units_Service'!V30*SUMPRODUCT(INDEX($N$63:$P$83,MATCH(V$123,$A$63:$A$83,0),0),$C$96:$E$96),0)</f>
        <v/>
      </c>
      <c r="W130" s="43">
        <f>IFERROR('5_Journey_Units_Service'!W30*SUMPRODUCT(INDEX($N$63:$P$83,MATCH(W$123,$A$63:$A$83,0),0),$C$96:$E$96),0)</f>
        <v/>
      </c>
    </row>
    <row r="131">
      <c r="A131" s="18" t="inlineStr">
        <is>
          <t>C08</t>
        </is>
      </c>
      <c r="B131" s="13" t="inlineStr">
        <is>
          <t>Recovery proceeds handling and GL posting</t>
        </is>
      </c>
      <c r="C131" s="43">
        <f>IFERROR('5_Journey_Units_Service'!C31*SUMPRODUCT(INDEX($N$63:$P$83,MATCH(C$123,$A$63:$A$83,0),0),$C$97:$E$97),0)</f>
        <v/>
      </c>
      <c r="D131" s="43">
        <f>IFERROR('5_Journey_Units_Service'!D31*SUMPRODUCT(INDEX($N$63:$P$83,MATCH(D$123,$A$63:$A$83,0),0),$C$97:$E$97),0)</f>
        <v/>
      </c>
      <c r="E131" s="43">
        <f>IFERROR('5_Journey_Units_Service'!E31*SUMPRODUCT(INDEX($N$63:$P$83,MATCH(E$123,$A$63:$A$83,0),0),$C$97:$E$97),0)</f>
        <v/>
      </c>
      <c r="F131" s="43">
        <f>IFERROR('5_Journey_Units_Service'!F31*SUMPRODUCT(INDEX($N$63:$P$83,MATCH(F$123,$A$63:$A$83,0),0),$C$97:$E$97),0)</f>
        <v/>
      </c>
      <c r="G131" s="43">
        <f>IFERROR('5_Journey_Units_Service'!G31*SUMPRODUCT(INDEX($N$63:$P$83,MATCH(G$123,$A$63:$A$83,0),0),$C$97:$E$97),0)</f>
        <v/>
      </c>
      <c r="H131" s="43">
        <f>IFERROR('5_Journey_Units_Service'!H31*SUMPRODUCT(INDEX($N$63:$P$83,MATCH(H$123,$A$63:$A$83,0),0),$C$97:$E$97),0)</f>
        <v/>
      </c>
      <c r="I131" s="43">
        <f>IFERROR('5_Journey_Units_Service'!I31*SUMPRODUCT(INDEX($N$63:$P$83,MATCH(I$123,$A$63:$A$83,0),0),$C$97:$E$97),0)</f>
        <v/>
      </c>
      <c r="J131" s="43">
        <f>IFERROR('5_Journey_Units_Service'!J31*SUMPRODUCT(INDEX($N$63:$P$83,MATCH(J$123,$A$63:$A$83,0),0),$C$97:$E$97),0)</f>
        <v/>
      </c>
      <c r="K131" s="43">
        <f>IFERROR('5_Journey_Units_Service'!K31*SUMPRODUCT(INDEX($N$63:$P$83,MATCH(K$123,$A$63:$A$83,0),0),$C$97:$E$97),0)</f>
        <v/>
      </c>
      <c r="L131" s="43">
        <f>IFERROR('5_Journey_Units_Service'!L31*SUMPRODUCT(INDEX($N$63:$P$83,MATCH(L$123,$A$63:$A$83,0),0),$C$97:$E$97),0)</f>
        <v/>
      </c>
      <c r="M131" s="43">
        <f>IFERROR('5_Journey_Units_Service'!M31*SUMPRODUCT(INDEX($N$63:$P$83,MATCH(M$123,$A$63:$A$83,0),0),$C$97:$E$97),0)</f>
        <v/>
      </c>
      <c r="N131" s="43">
        <f>IFERROR('5_Journey_Units_Service'!N31*SUMPRODUCT(INDEX($N$63:$P$83,MATCH(N$123,$A$63:$A$83,0),0),$C$97:$E$97),0)</f>
        <v/>
      </c>
      <c r="O131" s="43">
        <f>IFERROR('5_Journey_Units_Service'!O31*SUMPRODUCT(INDEX($N$63:$P$83,MATCH(O$123,$A$63:$A$83,0),0),$C$97:$E$97),0)</f>
        <v/>
      </c>
      <c r="P131" s="43">
        <f>IFERROR('5_Journey_Units_Service'!P31*SUMPRODUCT(INDEX($N$63:$P$83,MATCH(P$123,$A$63:$A$83,0),0),$C$97:$E$97),0)</f>
        <v/>
      </c>
      <c r="Q131" s="43">
        <f>IFERROR('5_Journey_Units_Service'!Q31*SUMPRODUCT(INDEX($N$63:$P$83,MATCH(Q$123,$A$63:$A$83,0),0),$C$97:$E$97),0)</f>
        <v/>
      </c>
      <c r="R131" s="43">
        <f>IFERROR('5_Journey_Units_Service'!R31*SUMPRODUCT(INDEX($N$63:$P$83,MATCH(R$123,$A$63:$A$83,0),0),$C$97:$E$97),0)</f>
        <v/>
      </c>
      <c r="S131" s="43">
        <f>IFERROR('5_Journey_Units_Service'!S31*SUMPRODUCT(INDEX($N$63:$P$83,MATCH(S$123,$A$63:$A$83,0),0),$C$97:$E$97),0)</f>
        <v/>
      </c>
      <c r="T131" s="43">
        <f>IFERROR('5_Journey_Units_Service'!T31*SUMPRODUCT(INDEX($N$63:$P$83,MATCH(T$123,$A$63:$A$83,0),0),$C$97:$E$97),0)</f>
        <v/>
      </c>
      <c r="U131" s="43">
        <f>IFERROR('5_Journey_Units_Service'!U31*SUMPRODUCT(INDEX($N$63:$P$83,MATCH(U$123,$A$63:$A$83,0),0),$C$97:$E$97),0)</f>
        <v/>
      </c>
      <c r="V131" s="43">
        <f>IFERROR('5_Journey_Units_Service'!V31*SUMPRODUCT(INDEX($N$63:$P$83,MATCH(V$123,$A$63:$A$83,0),0),$C$97:$E$97),0)</f>
        <v/>
      </c>
      <c r="W131" s="43">
        <f>IFERROR('5_Journey_Units_Service'!W31*SUMPRODUCT(INDEX($N$63:$P$83,MATCH(W$123,$A$63:$A$83,0),0),$C$97:$E$97),0)</f>
        <v/>
      </c>
    </row>
    <row r="132">
      <c r="A132" s="18" t="inlineStr">
        <is>
          <t>C09</t>
        </is>
      </c>
      <c r="B132" s="13" t="inlineStr">
        <is>
          <t>Repossession and yard management</t>
        </is>
      </c>
      <c r="C132" s="43">
        <f>IFERROR('5_Journey_Units_Service'!C32*SUMPRODUCT(INDEX($N$63:$P$83,MATCH(C$123,$A$63:$A$83,0),0),$C$98:$E$98),0)</f>
        <v/>
      </c>
      <c r="D132" s="43">
        <f>IFERROR('5_Journey_Units_Service'!D32*SUMPRODUCT(INDEX($N$63:$P$83,MATCH(D$123,$A$63:$A$83,0),0),$C$98:$E$98),0)</f>
        <v/>
      </c>
      <c r="E132" s="43">
        <f>IFERROR('5_Journey_Units_Service'!E32*SUMPRODUCT(INDEX($N$63:$P$83,MATCH(E$123,$A$63:$A$83,0),0),$C$98:$E$98),0)</f>
        <v/>
      </c>
      <c r="F132" s="43">
        <f>IFERROR('5_Journey_Units_Service'!F32*SUMPRODUCT(INDEX($N$63:$P$83,MATCH(F$123,$A$63:$A$83,0),0),$C$98:$E$98),0)</f>
        <v/>
      </c>
      <c r="G132" s="43">
        <f>IFERROR('5_Journey_Units_Service'!G32*SUMPRODUCT(INDEX($N$63:$P$83,MATCH(G$123,$A$63:$A$83,0),0),$C$98:$E$98),0)</f>
        <v/>
      </c>
      <c r="H132" s="43">
        <f>IFERROR('5_Journey_Units_Service'!H32*SUMPRODUCT(INDEX($N$63:$P$83,MATCH(H$123,$A$63:$A$83,0),0),$C$98:$E$98),0)</f>
        <v/>
      </c>
      <c r="I132" s="43">
        <f>IFERROR('5_Journey_Units_Service'!I32*SUMPRODUCT(INDEX($N$63:$P$83,MATCH(I$123,$A$63:$A$83,0),0),$C$98:$E$98),0)</f>
        <v/>
      </c>
      <c r="J132" s="43">
        <f>IFERROR('5_Journey_Units_Service'!J32*SUMPRODUCT(INDEX($N$63:$P$83,MATCH(J$123,$A$63:$A$83,0),0),$C$98:$E$98),0)</f>
        <v/>
      </c>
      <c r="K132" s="43">
        <f>IFERROR('5_Journey_Units_Service'!K32*SUMPRODUCT(INDEX($N$63:$P$83,MATCH(K$123,$A$63:$A$83,0),0),$C$98:$E$98),0)</f>
        <v/>
      </c>
      <c r="L132" s="43">
        <f>IFERROR('5_Journey_Units_Service'!L32*SUMPRODUCT(INDEX($N$63:$P$83,MATCH(L$123,$A$63:$A$83,0),0),$C$98:$E$98),0)</f>
        <v/>
      </c>
      <c r="M132" s="43">
        <f>IFERROR('5_Journey_Units_Service'!M32*SUMPRODUCT(INDEX($N$63:$P$83,MATCH(M$123,$A$63:$A$83,0),0),$C$98:$E$98),0)</f>
        <v/>
      </c>
      <c r="N132" s="43">
        <f>IFERROR('5_Journey_Units_Service'!N32*SUMPRODUCT(INDEX($N$63:$P$83,MATCH(N$123,$A$63:$A$83,0),0),$C$98:$E$98),0)</f>
        <v/>
      </c>
      <c r="O132" s="43">
        <f>IFERROR('5_Journey_Units_Service'!O32*SUMPRODUCT(INDEX($N$63:$P$83,MATCH(O$123,$A$63:$A$83,0),0),$C$98:$E$98),0)</f>
        <v/>
      </c>
      <c r="P132" s="43">
        <f>IFERROR('5_Journey_Units_Service'!P32*SUMPRODUCT(INDEX($N$63:$P$83,MATCH(P$123,$A$63:$A$83,0),0),$C$98:$E$98),0)</f>
        <v/>
      </c>
      <c r="Q132" s="43">
        <f>IFERROR('5_Journey_Units_Service'!Q32*SUMPRODUCT(INDEX($N$63:$P$83,MATCH(Q$123,$A$63:$A$83,0),0),$C$98:$E$98),0)</f>
        <v/>
      </c>
      <c r="R132" s="43">
        <f>IFERROR('5_Journey_Units_Service'!R32*SUMPRODUCT(INDEX($N$63:$P$83,MATCH(R$123,$A$63:$A$83,0),0),$C$98:$E$98),0)</f>
        <v/>
      </c>
      <c r="S132" s="43">
        <f>IFERROR('5_Journey_Units_Service'!S32*SUMPRODUCT(INDEX($N$63:$P$83,MATCH(S$123,$A$63:$A$83,0),0),$C$98:$E$98),0)</f>
        <v/>
      </c>
      <c r="T132" s="43">
        <f>IFERROR('5_Journey_Units_Service'!T32*SUMPRODUCT(INDEX($N$63:$P$83,MATCH(T$123,$A$63:$A$83,0),0),$C$98:$E$98),0)</f>
        <v/>
      </c>
      <c r="U132" s="43">
        <f>IFERROR('5_Journey_Units_Service'!U32*SUMPRODUCT(INDEX($N$63:$P$83,MATCH(U$123,$A$63:$A$83,0),0),$C$98:$E$98),0)</f>
        <v/>
      </c>
      <c r="V132" s="43">
        <f>IFERROR('5_Journey_Units_Service'!V32*SUMPRODUCT(INDEX($N$63:$P$83,MATCH(V$123,$A$63:$A$83,0),0),$C$98:$E$98),0)</f>
        <v/>
      </c>
      <c r="W132" s="43">
        <f>IFERROR('5_Journey_Units_Service'!W32*SUMPRODUCT(INDEX($N$63:$P$83,MATCH(W$123,$A$63:$A$83,0),0),$C$98:$E$98),0)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9"/>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4" customWidth="1" min="3" max="3"/>
    <col width="23" customWidth="1" min="4" max="4"/>
    <col width="12" customWidth="1" min="5" max="5"/>
    <col width="11" customWidth="1" min="6" max="6"/>
    <col width="12" customWidth="1" min="7" max="7"/>
    <col width="14" customWidth="1" min="8" max="8"/>
    <col width="12" customWidth="1" min="9" max="9"/>
    <col width="15" customWidth="1" min="10" max="10"/>
    <col width="17" customWidth="1" min="11" max="11"/>
    <col width="13" customWidth="1" min="12" max="12"/>
  </cols>
  <sheetData>
    <row r="1">
      <c r="A1" s="1" t="inlineStr">
        <is>
          <t>7 — Origination cost engine</t>
        </is>
      </c>
    </row>
    <row r="2">
      <c r="A2" s="2" t="inlineStr">
        <is>
          <t>Effective units = units per application x attempts per success x reach at the stage where the driver fires.</t>
        </is>
      </c>
    </row>
    <row r="3">
      <c r="A3" s="26" t="inlineStr">
        <is>
          <t>Journey</t>
        </is>
      </c>
      <c r="B3" s="46">
        <f>'1_Inputs'!$B$18</f>
        <v/>
      </c>
    </row>
    <row r="4">
      <c r="A4" s="26" t="inlineStr">
        <is>
          <t>Journey column index</t>
        </is>
      </c>
      <c r="B4" s="47">
        <f>'1_Inputs'!$B$55</f>
        <v/>
      </c>
    </row>
    <row r="5">
      <c r="A5" s="26" t="inlineStr">
        <is>
          <t>Funnel preset</t>
        </is>
      </c>
      <c r="B5" s="46">
        <f>INDEX('4_Journey_Units_LOS'!$C$5:$W$5,$B$4)</f>
        <v/>
      </c>
    </row>
    <row r="6">
      <c r="A6" s="26" t="inlineStr">
        <is>
          <t>Funnel column index</t>
        </is>
      </c>
      <c r="B6" s="47">
        <f>IFERROR(MATCH($B$5,'6_Funnel_And_Lifetime'!$C$4:$G$4,0),1)</f>
        <v/>
      </c>
    </row>
    <row r="7">
      <c r="A7" s="26" t="inlineStr">
        <is>
          <t>Average ticket (₹)</t>
        </is>
      </c>
      <c r="B7" s="48">
        <f>'1_Inputs'!$B$56</f>
        <v/>
      </c>
    </row>
    <row r="8">
      <c r="A8" s="26" t="inlineStr">
        <is>
          <t>Rate card scenario index</t>
        </is>
      </c>
      <c r="B8" s="47">
        <f>'1_Inputs'!$B$54</f>
        <v/>
      </c>
    </row>
    <row r="9">
      <c r="A9" s="26" t="inlineStr">
        <is>
          <t>Funded rate</t>
        </is>
      </c>
      <c r="B9" s="49">
        <f>INDEX('6_Funnel_And_Lifetime'!$C$11:$G$11,$B$6)</f>
        <v/>
      </c>
    </row>
    <row r="10">
      <c r="A10" s="26" t="inlineStr">
        <is>
          <t>Decisioned rate</t>
        </is>
      </c>
      <c r="B10" s="49">
        <f>INDEX('6_Funnel_And_Lifetime'!$C$8:$G$8,$B$6)</f>
        <v/>
      </c>
    </row>
    <row r="12" ht="32" customHeight="1">
      <c r="A12" s="11" t="inlineStr">
        <is>
          <t>Driver ID</t>
        </is>
      </c>
      <c r="B12" s="11" t="inlineStr">
        <is>
          <t>Cost driver</t>
        </is>
      </c>
      <c r="C12" s="11" t="inlineStr">
        <is>
          <t>INT ID</t>
        </is>
      </c>
      <c r="D12" s="11" t="inlineStr">
        <is>
          <t>Fires at stage</t>
        </is>
      </c>
      <c r="E12" s="11" t="inlineStr">
        <is>
          <t>Units per app</t>
        </is>
      </c>
      <c r="F12" s="11" t="inlineStr">
        <is>
          <t>Attempts</t>
        </is>
      </c>
      <c r="G12" s="11" t="inlineStr">
        <is>
          <t>Stage reach</t>
        </is>
      </c>
      <c r="H12" s="11" t="inlineStr">
        <is>
          <t>Effective units / app</t>
        </is>
      </c>
      <c r="I12" s="11" t="inlineStr">
        <is>
          <t>Unit cost ₹</t>
        </is>
      </c>
      <c r="J12" s="11" t="inlineStr">
        <is>
          <t>₹ per application</t>
        </is>
      </c>
      <c r="K12" s="11" t="inlineStr">
        <is>
          <t>₹ per FUNDED loan</t>
        </is>
      </c>
      <c r="L12" s="11" t="inlineStr">
        <is>
          <t>Pass-through?</t>
        </is>
      </c>
    </row>
    <row r="13">
      <c r="A13" s="27" t="inlineStr">
        <is>
          <t>D01</t>
        </is>
      </c>
      <c r="B13" s="13" t="inlineStr">
        <is>
          <t>Mobile/email OTP + delivery (DLT SMS / WhatsApp)</t>
        </is>
      </c>
      <c r="C13" s="18" t="inlineStr">
        <is>
          <t>INT-CUS-01</t>
        </is>
      </c>
      <c r="D13" s="18" t="inlineStr">
        <is>
          <t>application_capture</t>
        </is>
      </c>
      <c r="E13" s="50">
        <f>INDEX('4_Journey_Units_LOS'!$C$8:$W$8,$B$4)</f>
        <v/>
      </c>
      <c r="F13" s="50">
        <f>'2_RateCard_Unit'!$I$5</f>
        <v/>
      </c>
      <c r="G13" s="51">
        <f>INDEX('6_Funnel_And_Lifetime'!$C$20:$G$20,$B$6)</f>
        <v/>
      </c>
      <c r="H13" s="43">
        <f>E13*F13*G13</f>
        <v/>
      </c>
      <c r="I13" s="52">
        <f>INDEX('2_RateCard_Unit'!$F$5:$H$5,$B$8)</f>
        <v/>
      </c>
      <c r="J13" s="53">
        <f>H13*I13</f>
        <v/>
      </c>
      <c r="K13" s="53">
        <f>IFERROR(J13/$B$9,0)</f>
        <v/>
      </c>
      <c r="L13" s="54">
        <f>'2_RateCard_Unit'!$K$5</f>
        <v/>
      </c>
    </row>
    <row r="14">
      <c r="A14" s="27" t="inlineStr">
        <is>
          <t>D02</t>
        </is>
      </c>
      <c r="B14" s="13" t="inlineStr">
        <is>
          <t>Lead capture, dedupe and CRM sync</t>
        </is>
      </c>
      <c r="C14" s="18" t="inlineStr">
        <is>
          <t>INT-CUS-02</t>
        </is>
      </c>
      <c r="D14" s="18" t="inlineStr">
        <is>
          <t>application_capture</t>
        </is>
      </c>
      <c r="E14" s="50">
        <f>INDEX('4_Journey_Units_LOS'!$C$9:$W$9,$B$4)</f>
        <v/>
      </c>
      <c r="F14" s="50">
        <f>'2_RateCard_Unit'!$I$6</f>
        <v/>
      </c>
      <c r="G14" s="51">
        <f>INDEX('6_Funnel_And_Lifetime'!$C$21:$G$21,$B$6)</f>
        <v/>
      </c>
      <c r="H14" s="43">
        <f>E14*F14*G14</f>
        <v/>
      </c>
      <c r="I14" s="52">
        <f>INDEX('2_RateCard_Unit'!$F$6:$H$6,$B$8)</f>
        <v/>
      </c>
      <c r="J14" s="53">
        <f>H14*I14</f>
        <v/>
      </c>
      <c r="K14" s="53">
        <f>IFERROR(J14/$B$9,0)</f>
        <v/>
      </c>
      <c r="L14" s="54">
        <f>'2_RateCard_Unit'!$K$6</f>
        <v/>
      </c>
    </row>
    <row r="15">
      <c r="A15" s="27" t="inlineStr">
        <is>
          <t>D03</t>
        </is>
      </c>
      <c r="B15" s="13" t="inlineStr">
        <is>
          <t>Document upload + malware/DLP scan</t>
        </is>
      </c>
      <c r="C15" s="18" t="inlineStr">
        <is>
          <t>INT-CUS-04</t>
        </is>
      </c>
      <c r="D15" s="18" t="inlineStr">
        <is>
          <t>application_capture</t>
        </is>
      </c>
      <c r="E15" s="50">
        <f>INDEX('4_Journey_Units_LOS'!$C$10:$W$10,$B$4)</f>
        <v/>
      </c>
      <c r="F15" s="50">
        <f>'2_RateCard_Unit'!$I$7</f>
        <v/>
      </c>
      <c r="G15" s="51">
        <f>INDEX('6_Funnel_And_Lifetime'!$C$22:$G$22,$B$6)</f>
        <v/>
      </c>
      <c r="H15" s="43">
        <f>E15*F15*G15</f>
        <v/>
      </c>
      <c r="I15" s="52">
        <f>INDEX('2_RateCard_Unit'!$F$7:$H$7,$B$8)</f>
        <v/>
      </c>
      <c r="J15" s="53">
        <f>H15*I15</f>
        <v/>
      </c>
      <c r="K15" s="53">
        <f>IFERROR(J15/$B$9,0)</f>
        <v/>
      </c>
      <c r="L15" s="54">
        <f>'2_RateCard_Unit'!$K$7</f>
        <v/>
      </c>
    </row>
    <row r="16">
      <c r="A16" s="27" t="inlineStr">
        <is>
          <t>D04</t>
        </is>
      </c>
      <c r="B16" s="13" t="inlineStr">
        <is>
          <t>DigiLocker consent + issued-document fetch</t>
        </is>
      </c>
      <c r="C16" s="18" t="inlineStr">
        <is>
          <t>INT-CUS-05</t>
        </is>
      </c>
      <c r="D16" s="18" t="inlineStr">
        <is>
          <t>application_capture</t>
        </is>
      </c>
      <c r="E16" s="50">
        <f>INDEX('4_Journey_Units_LOS'!$C$11:$W$11,$B$4)</f>
        <v/>
      </c>
      <c r="F16" s="50">
        <f>'2_RateCard_Unit'!$I$8</f>
        <v/>
      </c>
      <c r="G16" s="51">
        <f>INDEX('6_Funnel_And_Lifetime'!$C$23:$G$23,$B$6)</f>
        <v/>
      </c>
      <c r="H16" s="43">
        <f>E16*F16*G16</f>
        <v/>
      </c>
      <c r="I16" s="52">
        <f>INDEX('2_RateCard_Unit'!$F$8:$H$8,$B$8)</f>
        <v/>
      </c>
      <c r="J16" s="53">
        <f>H16*I16</f>
        <v/>
      </c>
      <c r="K16" s="53">
        <f>IFERROR(J16/$B$9,0)</f>
        <v/>
      </c>
      <c r="L16" s="54">
        <f>'2_RateCard_Unit'!$K$8</f>
        <v/>
      </c>
    </row>
    <row r="17">
      <c r="A17" s="27" t="inlineStr">
        <is>
          <t>D05</t>
        </is>
      </c>
      <c r="B17" s="13" t="inlineStr">
        <is>
          <t>Device / SIM / IP fraud signal</t>
        </is>
      </c>
      <c r="C17" s="18" t="inlineStr">
        <is>
          <t>INT-LOS-09</t>
        </is>
      </c>
      <c r="D17" s="18" t="inlineStr">
        <is>
          <t>application_capture</t>
        </is>
      </c>
      <c r="E17" s="50">
        <f>INDEX('4_Journey_Units_LOS'!$C$12:$W$12,$B$4)</f>
        <v/>
      </c>
      <c r="F17" s="50">
        <f>'2_RateCard_Unit'!$I$9</f>
        <v/>
      </c>
      <c r="G17" s="51">
        <f>INDEX('6_Funnel_And_Lifetime'!$C$24:$G$24,$B$6)</f>
        <v/>
      </c>
      <c r="H17" s="43">
        <f>E17*F17*G17</f>
        <v/>
      </c>
      <c r="I17" s="52">
        <f>INDEX('2_RateCard_Unit'!$F$9:$H$9,$B$8)</f>
        <v/>
      </c>
      <c r="J17" s="53">
        <f>H17*I17</f>
        <v/>
      </c>
      <c r="K17" s="53">
        <f>IFERROR(J17/$B$9,0)</f>
        <v/>
      </c>
      <c r="L17" s="54">
        <f>'2_RateCard_Unit'!$K$9</f>
        <v/>
      </c>
    </row>
    <row r="18">
      <c r="A18" s="27" t="inlineStr">
        <is>
          <t>D06</t>
        </is>
      </c>
      <c r="B18" s="13" t="inlineStr">
        <is>
          <t>PAN verification (Protean/NSDL)</t>
        </is>
      </c>
      <c r="C18" s="18" t="inlineStr">
        <is>
          <t>INT-LOS-01</t>
        </is>
      </c>
      <c r="D18" s="18" t="inlineStr">
        <is>
          <t>kyc_aml</t>
        </is>
      </c>
      <c r="E18" s="50">
        <f>INDEX('4_Journey_Units_LOS'!$C$13:$W$13,$B$4)</f>
        <v/>
      </c>
      <c r="F18" s="50">
        <f>'2_RateCard_Unit'!$I$10</f>
        <v/>
      </c>
      <c r="G18" s="51">
        <f>INDEX('6_Funnel_And_Lifetime'!$C$25:$G$25,$B$6)</f>
        <v/>
      </c>
      <c r="H18" s="43">
        <f>E18*F18*G18</f>
        <v/>
      </c>
      <c r="I18" s="52">
        <f>INDEX('2_RateCard_Unit'!$F$10:$H$10,$B$8)</f>
        <v/>
      </c>
      <c r="J18" s="53">
        <f>H18*I18</f>
        <v/>
      </c>
      <c r="K18" s="53">
        <f>IFERROR(J18/$B$9,0)</f>
        <v/>
      </c>
      <c r="L18" s="54">
        <f>'2_RateCard_Unit'!$K$10</f>
        <v/>
      </c>
    </row>
    <row r="19">
      <c r="A19" s="27" t="inlineStr">
        <is>
          <t>D07</t>
        </is>
      </c>
      <c r="B19" s="13" t="inlineStr">
        <is>
          <t>Aadhaar offline XML / QR / KUA eKYC</t>
        </is>
      </c>
      <c r="C19" s="18" t="inlineStr">
        <is>
          <t>INT-LOS-01</t>
        </is>
      </c>
      <c r="D19" s="18" t="inlineStr">
        <is>
          <t>kyc_aml</t>
        </is>
      </c>
      <c r="E19" s="50">
        <f>INDEX('4_Journey_Units_LOS'!$C$14:$W$14,$B$4)</f>
        <v/>
      </c>
      <c r="F19" s="50">
        <f>'2_RateCard_Unit'!$I$11</f>
        <v/>
      </c>
      <c r="G19" s="51">
        <f>INDEX('6_Funnel_And_Lifetime'!$C$26:$G$26,$B$6)</f>
        <v/>
      </c>
      <c r="H19" s="43">
        <f>E19*F19*G19</f>
        <v/>
      </c>
      <c r="I19" s="52">
        <f>INDEX('2_RateCard_Unit'!$F$11:$H$11,$B$8)</f>
        <v/>
      </c>
      <c r="J19" s="53">
        <f>H19*I19</f>
        <v/>
      </c>
      <c r="K19" s="53">
        <f>IFERROR(J19/$B$9,0)</f>
        <v/>
      </c>
      <c r="L19" s="54">
        <f>'2_RateCard_Unit'!$K$11</f>
        <v/>
      </c>
    </row>
    <row r="20">
      <c r="A20" s="27" t="inlineStr">
        <is>
          <t>D08</t>
        </is>
      </c>
      <c r="B20" s="13" t="inlineStr">
        <is>
          <t>CKYC search + record download (CERSAI)</t>
        </is>
      </c>
      <c r="C20" s="18" t="inlineStr">
        <is>
          <t>INT-LOS-02</t>
        </is>
      </c>
      <c r="D20" s="18" t="inlineStr">
        <is>
          <t>kyc_aml</t>
        </is>
      </c>
      <c r="E20" s="50">
        <f>INDEX('4_Journey_Units_LOS'!$C$15:$W$15,$B$4)</f>
        <v/>
      </c>
      <c r="F20" s="50">
        <f>'2_RateCard_Unit'!$I$12</f>
        <v/>
      </c>
      <c r="G20" s="51">
        <f>INDEX('6_Funnel_And_Lifetime'!$C$27:$G$27,$B$6)</f>
        <v/>
      </c>
      <c r="H20" s="43">
        <f>E20*F20*G20</f>
        <v/>
      </c>
      <c r="I20" s="52">
        <f>INDEX('2_RateCard_Unit'!$F$12:$H$12,$B$8)</f>
        <v/>
      </c>
      <c r="J20" s="53">
        <f>H20*I20</f>
        <v/>
      </c>
      <c r="K20" s="53">
        <f>IFERROR(J20/$B$9,0)</f>
        <v/>
      </c>
      <c r="L20" s="54">
        <f>'2_RateCard_Unit'!$K$12</f>
        <v/>
      </c>
    </row>
    <row r="21">
      <c r="A21" s="27" t="inlineStr">
        <is>
          <t>D09</t>
        </is>
      </c>
      <c r="B21" s="13" t="inlineStr">
        <is>
          <t>V-CIP session (platform + agent handling time)</t>
        </is>
      </c>
      <c r="C21" s="18" t="inlineStr">
        <is>
          <t>INT-LOS-03</t>
        </is>
      </c>
      <c r="D21" s="18" t="inlineStr">
        <is>
          <t>kyc_aml</t>
        </is>
      </c>
      <c r="E21" s="50">
        <f>INDEX('4_Journey_Units_LOS'!$C$16:$W$16,$B$4)</f>
        <v/>
      </c>
      <c r="F21" s="50">
        <f>'2_RateCard_Unit'!$I$13</f>
        <v/>
      </c>
      <c r="G21" s="51">
        <f>INDEX('6_Funnel_And_Lifetime'!$C$28:$G$28,$B$6)</f>
        <v/>
      </c>
      <c r="H21" s="43">
        <f>E21*F21*G21</f>
        <v/>
      </c>
      <c r="I21" s="52">
        <f>INDEX('2_RateCard_Unit'!$F$13:$H$13,$B$8)</f>
        <v/>
      </c>
      <c r="J21" s="53">
        <f>H21*I21</f>
        <v/>
      </c>
      <c r="K21" s="53">
        <f>IFERROR(J21/$B$9,0)</f>
        <v/>
      </c>
      <c r="L21" s="54">
        <f>'2_RateCard_Unit'!$K$13</f>
        <v/>
      </c>
    </row>
    <row r="22">
      <c r="A22" s="27" t="inlineStr">
        <is>
          <t>D10</t>
        </is>
      </c>
      <c r="B22" s="13" t="inlineStr">
        <is>
          <t>Liveness / face match / spoof detection</t>
        </is>
      </c>
      <c r="C22" s="18" t="inlineStr">
        <is>
          <t>INT-LOS-03</t>
        </is>
      </c>
      <c r="D22" s="18" t="inlineStr">
        <is>
          <t>kyc_aml</t>
        </is>
      </c>
      <c r="E22" s="50">
        <f>INDEX('4_Journey_Units_LOS'!$C$17:$W$17,$B$4)</f>
        <v/>
      </c>
      <c r="F22" s="50">
        <f>'2_RateCard_Unit'!$I$14</f>
        <v/>
      </c>
      <c r="G22" s="51">
        <f>INDEX('6_Funnel_And_Lifetime'!$C$29:$G$29,$B$6)</f>
        <v/>
      </c>
      <c r="H22" s="43">
        <f>E22*F22*G22</f>
        <v/>
      </c>
      <c r="I22" s="52">
        <f>INDEX('2_RateCard_Unit'!$F$14:$H$14,$B$8)</f>
        <v/>
      </c>
      <c r="J22" s="53">
        <f>H22*I22</f>
        <v/>
      </c>
      <c r="K22" s="53">
        <f>IFERROR(J22/$B$9,0)</f>
        <v/>
      </c>
      <c r="L22" s="54">
        <f>'2_RateCard_Unit'!$K$14</f>
        <v/>
      </c>
    </row>
    <row r="23">
      <c r="A23" s="27" t="inlineStr">
        <is>
          <t>D11</t>
        </is>
      </c>
      <c r="B23" s="13" t="inlineStr">
        <is>
          <t>AML / PEP / sanctions / adverse media screen</t>
        </is>
      </c>
      <c r="C23" s="18" t="inlineStr">
        <is>
          <t>INT-LOS-09</t>
        </is>
      </c>
      <c r="D23" s="18" t="inlineStr">
        <is>
          <t>kyc_aml</t>
        </is>
      </c>
      <c r="E23" s="50">
        <f>INDEX('4_Journey_Units_LOS'!$C$18:$W$18,$B$4)</f>
        <v/>
      </c>
      <c r="F23" s="50">
        <f>'2_RateCard_Unit'!$I$15</f>
        <v/>
      </c>
      <c r="G23" s="51">
        <f>INDEX('6_Funnel_And_Lifetime'!$C$30:$G$30,$B$6)</f>
        <v/>
      </c>
      <c r="H23" s="43">
        <f>E23*F23*G23</f>
        <v/>
      </c>
      <c r="I23" s="52">
        <f>INDEX('2_RateCard_Unit'!$F$15:$H$15,$B$8)</f>
        <v/>
      </c>
      <c r="J23" s="53">
        <f>H23*I23</f>
        <v/>
      </c>
      <c r="K23" s="53">
        <f>IFERROR(J23/$B$9,0)</f>
        <v/>
      </c>
      <c r="L23" s="54">
        <f>'2_RateCard_Unit'!$K$15</f>
        <v/>
      </c>
    </row>
    <row r="24">
      <c r="A24" s="27" t="inlineStr">
        <is>
          <t>D12</t>
        </is>
      </c>
      <c r="B24" s="13" t="inlineStr">
        <is>
          <t>KYB — GSTIN / Udyam / MCA entity verification</t>
        </is>
      </c>
      <c r="C24" s="18" t="inlineStr">
        <is>
          <t>INT-LOS-04</t>
        </is>
      </c>
      <c r="D24" s="18" t="inlineStr">
        <is>
          <t>kyc_aml</t>
        </is>
      </c>
      <c r="E24" s="50">
        <f>INDEX('4_Journey_Units_LOS'!$C$19:$W$19,$B$4)</f>
        <v/>
      </c>
      <c r="F24" s="50">
        <f>'2_RateCard_Unit'!$I$16</f>
        <v/>
      </c>
      <c r="G24" s="51">
        <f>INDEX('6_Funnel_And_Lifetime'!$C$31:$G$31,$B$6)</f>
        <v/>
      </c>
      <c r="H24" s="43">
        <f>E24*F24*G24</f>
        <v/>
      </c>
      <c r="I24" s="52">
        <f>INDEX('2_RateCard_Unit'!$F$16:$H$16,$B$8)</f>
        <v/>
      </c>
      <c r="J24" s="53">
        <f>H24*I24</f>
        <v/>
      </c>
      <c r="K24" s="53">
        <f>IFERROR(J24/$B$9,0)</f>
        <v/>
      </c>
      <c r="L24" s="54">
        <f>'2_RateCard_Unit'!$K$16</f>
        <v/>
      </c>
    </row>
    <row r="25">
      <c r="A25" s="27" t="inlineStr">
        <is>
          <t>D13</t>
        </is>
      </c>
      <c r="B25" s="13" t="inlineStr">
        <is>
          <t>Director / signatory / UBO verification</t>
        </is>
      </c>
      <c r="C25" s="18" t="inlineStr">
        <is>
          <t>INT-LOS-04</t>
        </is>
      </c>
      <c r="D25" s="18" t="inlineStr">
        <is>
          <t>kyc_aml</t>
        </is>
      </c>
      <c r="E25" s="50">
        <f>INDEX('4_Journey_Units_LOS'!$C$20:$W$20,$B$4)</f>
        <v/>
      </c>
      <c r="F25" s="50">
        <f>'2_RateCard_Unit'!$I$17</f>
        <v/>
      </c>
      <c r="G25" s="51">
        <f>INDEX('6_Funnel_And_Lifetime'!$C$32:$G$32,$B$6)</f>
        <v/>
      </c>
      <c r="H25" s="43">
        <f>E25*F25*G25</f>
        <v/>
      </c>
      <c r="I25" s="52">
        <f>INDEX('2_RateCard_Unit'!$F$17:$H$17,$B$8)</f>
        <v/>
      </c>
      <c r="J25" s="53">
        <f>H25*I25</f>
        <v/>
      </c>
      <c r="K25" s="53">
        <f>IFERROR(J25/$B$9,0)</f>
        <v/>
      </c>
      <c r="L25" s="54">
        <f>'2_RateCard_Unit'!$K$17</f>
        <v/>
      </c>
    </row>
    <row r="26">
      <c r="A26" s="27" t="inlineStr">
        <is>
          <t>D14</t>
        </is>
      </c>
      <c r="B26" s="13" t="inlineStr">
        <is>
          <t>Credit bureau — consumer (CIBIL/Experian/Equifax/CRIF)</t>
        </is>
      </c>
      <c r="C26" s="18" t="inlineStr">
        <is>
          <t>INT-LOS-06</t>
        </is>
      </c>
      <c r="D26" s="18" t="inlineStr">
        <is>
          <t>specialist_assessment</t>
        </is>
      </c>
      <c r="E26" s="50">
        <f>INDEX('4_Journey_Units_LOS'!$C$21:$W$21,$B$4)</f>
        <v/>
      </c>
      <c r="F26" s="50">
        <f>'2_RateCard_Unit'!$I$18</f>
        <v/>
      </c>
      <c r="G26" s="51">
        <f>INDEX('6_Funnel_And_Lifetime'!$C$33:$G$33,$B$6)</f>
        <v/>
      </c>
      <c r="H26" s="43">
        <f>E26*F26*G26</f>
        <v/>
      </c>
      <c r="I26" s="52">
        <f>INDEX('2_RateCard_Unit'!$F$18:$H$18,$B$8)</f>
        <v/>
      </c>
      <c r="J26" s="53">
        <f>H26*I26</f>
        <v/>
      </c>
      <c r="K26" s="53">
        <f>IFERROR(J26/$B$9,0)</f>
        <v/>
      </c>
      <c r="L26" s="54">
        <f>'2_RateCard_Unit'!$K$18</f>
        <v/>
      </c>
    </row>
    <row r="27">
      <c r="A27" s="27" t="inlineStr">
        <is>
          <t>D15</t>
        </is>
      </c>
      <c r="B27" s="13" t="inlineStr">
        <is>
          <t>Credit bureau — commercial (CMR / CCR)</t>
        </is>
      </c>
      <c r="C27" s="18" t="inlineStr">
        <is>
          <t>INT-LOS-06</t>
        </is>
      </c>
      <c r="D27" s="18" t="inlineStr">
        <is>
          <t>specialist_assessment</t>
        </is>
      </c>
      <c r="E27" s="50">
        <f>INDEX('4_Journey_Units_LOS'!$C$22:$W$22,$B$4)</f>
        <v/>
      </c>
      <c r="F27" s="50">
        <f>'2_RateCard_Unit'!$I$19</f>
        <v/>
      </c>
      <c r="G27" s="51">
        <f>INDEX('6_Funnel_And_Lifetime'!$C$34:$G$34,$B$6)</f>
        <v/>
      </c>
      <c r="H27" s="43">
        <f>E27*F27*G27</f>
        <v/>
      </c>
      <c r="I27" s="52">
        <f>INDEX('2_RateCard_Unit'!$F$19:$H$19,$B$8)</f>
        <v/>
      </c>
      <c r="J27" s="53">
        <f>H27*I27</f>
        <v/>
      </c>
      <c r="K27" s="53">
        <f>IFERROR(J27/$B$9,0)</f>
        <v/>
      </c>
      <c r="L27" s="54">
        <f>'2_RateCard_Unit'!$K$19</f>
        <v/>
      </c>
    </row>
    <row r="28">
      <c r="A28" s="27" t="inlineStr">
        <is>
          <t>D16</t>
        </is>
      </c>
      <c r="B28" s="13" t="inlineStr">
        <is>
          <t>Account Aggregator consent + FI data fetch</t>
        </is>
      </c>
      <c r="C28" s="18" t="inlineStr">
        <is>
          <t>INT-LOS-07</t>
        </is>
      </c>
      <c r="D28" s="18" t="inlineStr">
        <is>
          <t>specialist_assessment</t>
        </is>
      </c>
      <c r="E28" s="50">
        <f>INDEX('4_Journey_Units_LOS'!$C$23:$W$23,$B$4)</f>
        <v/>
      </c>
      <c r="F28" s="50">
        <f>'2_RateCard_Unit'!$I$20</f>
        <v/>
      </c>
      <c r="G28" s="51">
        <f>INDEX('6_Funnel_And_Lifetime'!$C$35:$G$35,$B$6)</f>
        <v/>
      </c>
      <c r="H28" s="43">
        <f>E28*F28*G28</f>
        <v/>
      </c>
      <c r="I28" s="52">
        <f>INDEX('2_RateCard_Unit'!$F$20:$H$20,$B$8)</f>
        <v/>
      </c>
      <c r="J28" s="53">
        <f>H28*I28</f>
        <v/>
      </c>
      <c r="K28" s="53">
        <f>IFERROR(J28/$B$9,0)</f>
        <v/>
      </c>
      <c r="L28" s="54">
        <f>'2_RateCard_Unit'!$K$20</f>
        <v/>
      </c>
    </row>
    <row r="29">
      <c r="A29" s="27" t="inlineStr">
        <is>
          <t>D17</t>
        </is>
      </c>
      <c r="B29" s="13" t="inlineStr">
        <is>
          <t>Bank statement analysis (parse, tamper, categorise)</t>
        </is>
      </c>
      <c r="C29" s="18" t="inlineStr">
        <is>
          <t>INT-LOS-08</t>
        </is>
      </c>
      <c r="D29" s="18" t="inlineStr">
        <is>
          <t>specialist_assessment</t>
        </is>
      </c>
      <c r="E29" s="50">
        <f>INDEX('4_Journey_Units_LOS'!$C$24:$W$24,$B$4)</f>
        <v/>
      </c>
      <c r="F29" s="50">
        <f>'2_RateCard_Unit'!$I$21</f>
        <v/>
      </c>
      <c r="G29" s="51">
        <f>INDEX('6_Funnel_And_Lifetime'!$C$36:$G$36,$B$6)</f>
        <v/>
      </c>
      <c r="H29" s="43">
        <f>E29*F29*G29</f>
        <v/>
      </c>
      <c r="I29" s="52">
        <f>INDEX('2_RateCard_Unit'!$F$21:$H$21,$B$8)</f>
        <v/>
      </c>
      <c r="J29" s="53">
        <f>H29*I29</f>
        <v/>
      </c>
      <c r="K29" s="53">
        <f>IFERROR(J29/$B$9,0)</f>
        <v/>
      </c>
      <c r="L29" s="54">
        <f>'2_RateCard_Unit'!$K$21</f>
        <v/>
      </c>
    </row>
    <row r="30">
      <c r="A30" s="27" t="inlineStr">
        <is>
          <t>D18</t>
        </is>
      </c>
      <c r="B30" s="13" t="inlineStr">
        <is>
          <t>Income / employment evidence (EPFO, ITR, 26AS, GST)</t>
        </is>
      </c>
      <c r="C30" s="18" t="inlineStr">
        <is>
          <t>INT-LOS-05</t>
        </is>
      </c>
      <c r="D30" s="18" t="inlineStr">
        <is>
          <t>specialist_assessment</t>
        </is>
      </c>
      <c r="E30" s="50">
        <f>INDEX('4_Journey_Units_LOS'!$C$25:$W$25,$B$4)</f>
        <v/>
      </c>
      <c r="F30" s="50">
        <f>'2_RateCard_Unit'!$I$22</f>
        <v/>
      </c>
      <c r="G30" s="51">
        <f>INDEX('6_Funnel_And_Lifetime'!$C$37:$G$37,$B$6)</f>
        <v/>
      </c>
      <c r="H30" s="43">
        <f>E30*F30*G30</f>
        <v/>
      </c>
      <c r="I30" s="52">
        <f>INDEX('2_RateCard_Unit'!$F$22:$H$22,$B$8)</f>
        <v/>
      </c>
      <c r="J30" s="53">
        <f>H30*I30</f>
        <v/>
      </c>
      <c r="K30" s="53">
        <f>IFERROR(J30/$B$9,0)</f>
        <v/>
      </c>
      <c r="L30" s="54">
        <f>'2_RateCard_Unit'!$K$22</f>
        <v/>
      </c>
    </row>
    <row r="31">
      <c r="A31" s="27" t="inlineStr">
        <is>
          <t>D19</t>
        </is>
      </c>
      <c r="B31" s="13" t="inlineStr">
        <is>
          <t>OCR / document extraction + authenticity</t>
        </is>
      </c>
      <c r="C31" s="18" t="inlineStr">
        <is>
          <t>INT-LOS-10</t>
        </is>
      </c>
      <c r="D31" s="18" t="inlineStr">
        <is>
          <t>specialist_assessment</t>
        </is>
      </c>
      <c r="E31" s="50">
        <f>INDEX('4_Journey_Units_LOS'!$C$26:$W$26,$B$4)</f>
        <v/>
      </c>
      <c r="F31" s="50">
        <f>'2_RateCard_Unit'!$I$23</f>
        <v/>
      </c>
      <c r="G31" s="51">
        <f>INDEX('6_Funnel_And_Lifetime'!$C$38:$G$38,$B$6)</f>
        <v/>
      </c>
      <c r="H31" s="43">
        <f>E31*F31*G31</f>
        <v/>
      </c>
      <c r="I31" s="52">
        <f>INDEX('2_RateCard_Unit'!$F$23:$H$23,$B$8)</f>
        <v/>
      </c>
      <c r="J31" s="53">
        <f>H31*I31</f>
        <v/>
      </c>
      <c r="K31" s="53">
        <f>IFERROR(J31/$B$9,0)</f>
        <v/>
      </c>
      <c r="L31" s="54">
        <f>'2_RateCard_Unit'!$K$23</f>
        <v/>
      </c>
    </row>
    <row r="32">
      <c r="A32" s="27" t="inlineStr">
        <is>
          <t>D20</t>
        </is>
      </c>
      <c r="B32" s="13" t="inlineStr">
        <is>
          <t>Field investigation / personal discussion visit</t>
        </is>
      </c>
      <c r="C32" s="18" t="inlineStr">
        <is>
          <t>-</t>
        </is>
      </c>
      <c r="D32" s="18" t="inlineStr">
        <is>
          <t>specialist_assessment</t>
        </is>
      </c>
      <c r="E32" s="50">
        <f>INDEX('4_Journey_Units_LOS'!$C$27:$W$27,$B$4)</f>
        <v/>
      </c>
      <c r="F32" s="50">
        <f>'2_RateCard_Unit'!$I$24</f>
        <v/>
      </c>
      <c r="G32" s="51">
        <f>INDEX('6_Funnel_And_Lifetime'!$C$39:$G$39,$B$6)</f>
        <v/>
      </c>
      <c r="H32" s="43">
        <f>E32*F32*G32</f>
        <v/>
      </c>
      <c r="I32" s="52">
        <f>INDEX('2_RateCard_Unit'!$F$24:$H$24,$B$8)</f>
        <v/>
      </c>
      <c r="J32" s="53">
        <f>H32*I32</f>
        <v/>
      </c>
      <c r="K32" s="53">
        <f>IFERROR(J32/$B$9,0)</f>
        <v/>
      </c>
      <c r="L32" s="54">
        <f>'2_RateCard_Unit'!$K$24</f>
        <v/>
      </c>
    </row>
    <row r="33">
      <c r="A33" s="27" t="inlineStr">
        <is>
          <t>D21</t>
        </is>
      </c>
      <c r="B33" s="13" t="inlineStr">
        <is>
          <t>Property valuation report</t>
        </is>
      </c>
      <c r="C33" s="18" t="inlineStr">
        <is>
          <t>INT-LOS-13</t>
        </is>
      </c>
      <c r="D33" s="18" t="inlineStr">
        <is>
          <t>specialist_assessment</t>
        </is>
      </c>
      <c r="E33" s="50">
        <f>INDEX('4_Journey_Units_LOS'!$C$28:$W$28,$B$4)</f>
        <v/>
      </c>
      <c r="F33" s="50">
        <f>'2_RateCard_Unit'!$I$25</f>
        <v/>
      </c>
      <c r="G33" s="51">
        <f>INDEX('6_Funnel_And_Lifetime'!$C$40:$G$40,$B$6)</f>
        <v/>
      </c>
      <c r="H33" s="43">
        <f>E33*F33*G33</f>
        <v/>
      </c>
      <c r="I33" s="52">
        <f>INDEX('2_RateCard_Unit'!$F$25:$H$25,$B$8)</f>
        <v/>
      </c>
      <c r="J33" s="53">
        <f>H33*I33</f>
        <v/>
      </c>
      <c r="K33" s="53">
        <f>IFERROR(J33/$B$9,0)</f>
        <v/>
      </c>
      <c r="L33" s="54">
        <f>'2_RateCard_Unit'!$K$25</f>
        <v/>
      </c>
    </row>
    <row r="34">
      <c r="A34" s="27" t="inlineStr">
        <is>
          <t>D22</t>
        </is>
      </c>
      <c r="B34" s="13" t="inlineStr">
        <is>
          <t>Legal / title search report</t>
        </is>
      </c>
      <c r="C34" s="18" t="inlineStr">
        <is>
          <t>INT-LOS-13</t>
        </is>
      </c>
      <c r="D34" s="18" t="inlineStr">
        <is>
          <t>specialist_assessment</t>
        </is>
      </c>
      <c r="E34" s="50">
        <f>INDEX('4_Journey_Units_LOS'!$C$29:$W$29,$B$4)</f>
        <v/>
      </c>
      <c r="F34" s="50">
        <f>'2_RateCard_Unit'!$I$26</f>
        <v/>
      </c>
      <c r="G34" s="51">
        <f>INDEX('6_Funnel_And_Lifetime'!$C$41:$G$41,$B$6)</f>
        <v/>
      </c>
      <c r="H34" s="43">
        <f>E34*F34*G34</f>
        <v/>
      </c>
      <c r="I34" s="52">
        <f>INDEX('2_RateCard_Unit'!$F$26:$H$26,$B$8)</f>
        <v/>
      </c>
      <c r="J34" s="53">
        <f>H34*I34</f>
        <v/>
      </c>
      <c r="K34" s="53">
        <f>IFERROR(J34/$B$9,0)</f>
        <v/>
      </c>
      <c r="L34" s="54">
        <f>'2_RateCard_Unit'!$K$26</f>
        <v/>
      </c>
    </row>
    <row r="35">
      <c r="A35" s="27" t="inlineStr">
        <is>
          <t>D23</t>
        </is>
      </c>
      <c r="B35" s="13" t="inlineStr">
        <is>
          <t>Asset / vehicle inspection and valuation</t>
        </is>
      </c>
      <c r="C35" s="18" t="inlineStr">
        <is>
          <t>INT-LOS-13</t>
        </is>
      </c>
      <c r="D35" s="18" t="inlineStr">
        <is>
          <t>specialist_assessment</t>
        </is>
      </c>
      <c r="E35" s="50">
        <f>INDEX('4_Journey_Units_LOS'!$C$30:$W$30,$B$4)</f>
        <v/>
      </c>
      <c r="F35" s="50">
        <f>'2_RateCard_Unit'!$I$27</f>
        <v/>
      </c>
      <c r="G35" s="51">
        <f>INDEX('6_Funnel_And_Lifetime'!$C$42:$G$42,$B$6)</f>
        <v/>
      </c>
      <c r="H35" s="43">
        <f>E35*F35*G35</f>
        <v/>
      </c>
      <c r="I35" s="52">
        <f>INDEX('2_RateCard_Unit'!$F$27:$H$27,$B$8)</f>
        <v/>
      </c>
      <c r="J35" s="53">
        <f>H35*I35</f>
        <v/>
      </c>
      <c r="K35" s="53">
        <f>IFERROR(J35/$B$9,0)</f>
        <v/>
      </c>
      <c r="L35" s="54">
        <f>'2_RateCard_Unit'!$K$27</f>
        <v/>
      </c>
    </row>
    <row r="36">
      <c r="A36" s="27" t="inlineStr">
        <is>
          <t>D24</t>
        </is>
      </c>
      <c r="B36" s="13" t="inlineStr">
        <is>
          <t>Gold assay + dual-control custody handling</t>
        </is>
      </c>
      <c r="C36" s="18" t="inlineStr">
        <is>
          <t>INT-LOS-13</t>
        </is>
      </c>
      <c r="D36" s="18" t="inlineStr">
        <is>
          <t>specialist_assessment</t>
        </is>
      </c>
      <c r="E36" s="50">
        <f>INDEX('4_Journey_Units_LOS'!$C$31:$W$31,$B$4)</f>
        <v/>
      </c>
      <c r="F36" s="50">
        <f>'2_RateCard_Unit'!$I$28</f>
        <v/>
      </c>
      <c r="G36" s="51">
        <f>INDEX('6_Funnel_And_Lifetime'!$C$43:$G$43,$B$6)</f>
        <v/>
      </c>
      <c r="H36" s="43">
        <f>E36*F36*G36</f>
        <v/>
      </c>
      <c r="I36" s="52">
        <f>INDEX('2_RateCard_Unit'!$F$28:$H$28,$B$8)</f>
        <v/>
      </c>
      <c r="J36" s="53">
        <f>H36*I36</f>
        <v/>
      </c>
      <c r="K36" s="53">
        <f>IFERROR(J36/$B$9,0)</f>
        <v/>
      </c>
      <c r="L36" s="54">
        <f>'2_RateCard_Unit'!$K$28</f>
        <v/>
      </c>
    </row>
    <row r="37">
      <c r="A37" s="27" t="inlineStr">
        <is>
          <t>D25</t>
        </is>
      </c>
      <c r="B37" s="13" t="inlineStr">
        <is>
          <t>Decision engine evaluation (per-tenant Rust runtime)</t>
        </is>
      </c>
      <c r="C37" s="18" t="inlineStr">
        <is>
          <t>-</t>
        </is>
      </c>
      <c r="D37" s="18" t="inlineStr">
        <is>
          <t>credit_decision</t>
        </is>
      </c>
      <c r="E37" s="50">
        <f>INDEX('4_Journey_Units_LOS'!$C$32:$W$32,$B$4)</f>
        <v/>
      </c>
      <c r="F37" s="50">
        <f>'2_RateCard_Unit'!$I$29</f>
        <v/>
      </c>
      <c r="G37" s="51">
        <f>INDEX('6_Funnel_And_Lifetime'!$C$44:$G$44,$B$6)</f>
        <v/>
      </c>
      <c r="H37" s="43">
        <f>E37*F37*G37</f>
        <v/>
      </c>
      <c r="I37" s="52">
        <f>INDEX('2_RateCard_Unit'!$F$29:$H$29,$B$8)</f>
        <v/>
      </c>
      <c r="J37" s="53">
        <f>H37*I37</f>
        <v/>
      </c>
      <c r="K37" s="53">
        <f>IFERROR(J37/$B$9,0)</f>
        <v/>
      </c>
      <c r="L37" s="54">
        <f>'2_RateCard_Unit'!$K$29</f>
        <v/>
      </c>
    </row>
    <row r="38">
      <c r="A38" s="27" t="inlineStr">
        <is>
          <t>D26</t>
        </is>
      </c>
      <c r="B38" s="13" t="inlineStr">
        <is>
          <t>Governed AI / agent tokens and actions</t>
        </is>
      </c>
      <c r="C38" s="18" t="inlineStr">
        <is>
          <t>INT-RSK-07</t>
        </is>
      </c>
      <c r="D38" s="18" t="inlineStr">
        <is>
          <t>multiple</t>
        </is>
      </c>
      <c r="E38" s="50">
        <f>INDEX('4_Journey_Units_LOS'!$C$33:$W$33,$B$4)</f>
        <v/>
      </c>
      <c r="F38" s="50">
        <f>'2_RateCard_Unit'!$I$30</f>
        <v/>
      </c>
      <c r="G38" s="51">
        <f>INDEX('6_Funnel_And_Lifetime'!$C$45:$G$45,$B$6)</f>
        <v/>
      </c>
      <c r="H38" s="43">
        <f>E38*F38*G38</f>
        <v/>
      </c>
      <c r="I38" s="52">
        <f>INDEX('2_RateCard_Unit'!$F$30:$H$30,$B$8)</f>
        <v/>
      </c>
      <c r="J38" s="53">
        <f>H38*I38</f>
        <v/>
      </c>
      <c r="K38" s="53">
        <f>IFERROR(J38/$B$9,0)</f>
        <v/>
      </c>
      <c r="L38" s="54">
        <f>'2_RateCard_Unit'!$K$30</f>
        <v/>
      </c>
    </row>
    <row r="39">
      <c r="A39" s="27" t="inlineStr">
        <is>
          <t>D27</t>
        </is>
      </c>
      <c r="B39" s="13" t="inlineStr">
        <is>
          <t>KFS + sanction letter generation and dispatch</t>
        </is>
      </c>
      <c r="C39" s="18" t="inlineStr">
        <is>
          <t>INT-LOS-17</t>
        </is>
      </c>
      <c r="D39" s="18" t="inlineStr">
        <is>
          <t>kfs_acceptance</t>
        </is>
      </c>
      <c r="E39" s="50">
        <f>INDEX('4_Journey_Units_LOS'!$C$34:$W$34,$B$4)</f>
        <v/>
      </c>
      <c r="F39" s="50">
        <f>'2_RateCard_Unit'!$I$31</f>
        <v/>
      </c>
      <c r="G39" s="51">
        <f>INDEX('6_Funnel_And_Lifetime'!$C$46:$G$46,$B$6)</f>
        <v/>
      </c>
      <c r="H39" s="43">
        <f>E39*F39*G39</f>
        <v/>
      </c>
      <c r="I39" s="52">
        <f>INDEX('2_RateCard_Unit'!$F$31:$H$31,$B$8)</f>
        <v/>
      </c>
      <c r="J39" s="53">
        <f>H39*I39</f>
        <v/>
      </c>
      <c r="K39" s="53">
        <f>IFERROR(J39/$B$9,0)</f>
        <v/>
      </c>
      <c r="L39" s="54">
        <f>'2_RateCard_Unit'!$K$31</f>
        <v/>
      </c>
    </row>
    <row r="40">
      <c r="A40" s="27" t="inlineStr">
        <is>
          <t>D28</t>
        </is>
      </c>
      <c r="B40" s="13" t="inlineStr">
        <is>
          <t>eSign signature (Aadhaar eSign / DSC)</t>
        </is>
      </c>
      <c r="C40" s="18" t="inlineStr">
        <is>
          <t>INT-LOS-11</t>
        </is>
      </c>
      <c r="D40" s="18" t="inlineStr">
        <is>
          <t>contracting</t>
        </is>
      </c>
      <c r="E40" s="50">
        <f>INDEX('4_Journey_Units_LOS'!$C$35:$W$35,$B$4)</f>
        <v/>
      </c>
      <c r="F40" s="50">
        <f>'2_RateCard_Unit'!$I$32</f>
        <v/>
      </c>
      <c r="G40" s="51">
        <f>INDEX('6_Funnel_And_Lifetime'!$C$47:$G$47,$B$6)</f>
        <v/>
      </c>
      <c r="H40" s="43">
        <f>E40*F40*G40</f>
        <v/>
      </c>
      <c r="I40" s="52">
        <f>INDEX('2_RateCard_Unit'!$F$32:$H$32,$B$8)</f>
        <v/>
      </c>
      <c r="J40" s="53">
        <f>H40*I40</f>
        <v/>
      </c>
      <c r="K40" s="53">
        <f>IFERROR(J40/$B$9,0)</f>
        <v/>
      </c>
      <c r="L40" s="54">
        <f>'2_RateCard_Unit'!$K$32</f>
        <v/>
      </c>
    </row>
    <row r="41">
      <c r="A41" s="27" t="inlineStr">
        <is>
          <t>D29</t>
        </is>
      </c>
      <c r="B41" s="13" t="inlineStr">
        <is>
          <t>eStamp facilitation fee (duty itself excluded)</t>
        </is>
      </c>
      <c r="C41" s="18" t="inlineStr">
        <is>
          <t>INT-LOS-11</t>
        </is>
      </c>
      <c r="D41" s="18" t="inlineStr">
        <is>
          <t>contracting</t>
        </is>
      </c>
      <c r="E41" s="50">
        <f>INDEX('4_Journey_Units_LOS'!$C$36:$W$36,$B$4)</f>
        <v/>
      </c>
      <c r="F41" s="50">
        <f>'2_RateCard_Unit'!$I$33</f>
        <v/>
      </c>
      <c r="G41" s="51">
        <f>INDEX('6_Funnel_And_Lifetime'!$C$48:$G$48,$B$6)</f>
        <v/>
      </c>
      <c r="H41" s="43">
        <f>E41*F41*G41</f>
        <v/>
      </c>
      <c r="I41" s="52">
        <f>INDEX('2_RateCard_Unit'!$F$33:$H$33,$B$8)</f>
        <v/>
      </c>
      <c r="J41" s="53">
        <f>H41*I41</f>
        <v/>
      </c>
      <c r="K41" s="53">
        <f>IFERROR(J41/$B$9,0)</f>
        <v/>
      </c>
      <c r="L41" s="54">
        <f>'2_RateCard_Unit'!$K$33</f>
        <v/>
      </c>
    </row>
    <row r="42">
      <c r="A42" s="27" t="inlineStr">
        <is>
          <t>D30</t>
        </is>
      </c>
      <c r="B42" s="13" t="inlineStr">
        <is>
          <t>CERSAI security-interest registration</t>
        </is>
      </c>
      <c r="C42" s="18" t="inlineStr">
        <is>
          <t>INT-LOS-14</t>
        </is>
      </c>
      <c r="D42" s="18" t="inlineStr">
        <is>
          <t>contracting</t>
        </is>
      </c>
      <c r="E42" s="50">
        <f>INDEX('4_Journey_Units_LOS'!$C$37:$W$37,$B$4)</f>
        <v/>
      </c>
      <c r="F42" s="50">
        <f>'2_RateCard_Unit'!$I$34</f>
        <v/>
      </c>
      <c r="G42" s="51">
        <f>INDEX('6_Funnel_And_Lifetime'!$C$49:$G$49,$B$6)</f>
        <v/>
      </c>
      <c r="H42" s="43">
        <f>E42*F42*G42</f>
        <v/>
      </c>
      <c r="I42" s="52">
        <f>INDEX('2_RateCard_Unit'!$F$34:$H$34,$B$8)</f>
        <v/>
      </c>
      <c r="J42" s="53">
        <f>H42*I42</f>
        <v/>
      </c>
      <c r="K42" s="53">
        <f>IFERROR(J42/$B$9,0)</f>
        <v/>
      </c>
      <c r="L42" s="54">
        <f>'2_RateCard_Unit'!$K$34</f>
        <v/>
      </c>
    </row>
    <row r="43">
      <c r="A43" s="27" t="inlineStr">
        <is>
          <t>D31</t>
        </is>
      </c>
      <c r="B43" s="13" t="inlineStr">
        <is>
          <t>Insurance bind / policy issuance handling</t>
        </is>
      </c>
      <c r="C43" s="18" t="inlineStr">
        <is>
          <t>INT-LOS-14</t>
        </is>
      </c>
      <c r="D43" s="18" t="inlineStr">
        <is>
          <t>contracting</t>
        </is>
      </c>
      <c r="E43" s="50">
        <f>INDEX('4_Journey_Units_LOS'!$C$38:$W$38,$B$4)</f>
        <v/>
      </c>
      <c r="F43" s="50">
        <f>'2_RateCard_Unit'!$I$35</f>
        <v/>
      </c>
      <c r="G43" s="51">
        <f>INDEX('6_Funnel_And_Lifetime'!$C$50:$G$50,$B$6)</f>
        <v/>
      </c>
      <c r="H43" s="43">
        <f>E43*F43*G43</f>
        <v/>
      </c>
      <c r="I43" s="52">
        <f>INDEX('2_RateCard_Unit'!$F$35:$H$35,$B$8)</f>
        <v/>
      </c>
      <c r="J43" s="53">
        <f>H43*I43</f>
        <v/>
      </c>
      <c r="K43" s="53">
        <f>IFERROR(J43/$B$9,0)</f>
        <v/>
      </c>
      <c r="L43" s="54">
        <f>'2_RateCard_Unit'!$K$35</f>
        <v/>
      </c>
    </row>
    <row r="44">
      <c r="A44" s="27" t="inlineStr">
        <is>
          <t>D32</t>
        </is>
      </c>
      <c r="B44" s="13" t="inlineStr">
        <is>
          <t>Penny-drop / penny-less bank account verification</t>
        </is>
      </c>
      <c r="C44" s="18" t="inlineStr">
        <is>
          <t>INT-LOS-12</t>
        </is>
      </c>
      <c r="D44" s="18" t="inlineStr">
        <is>
          <t>disbursement</t>
        </is>
      </c>
      <c r="E44" s="50">
        <f>INDEX('4_Journey_Units_LOS'!$C$39:$W$39,$B$4)</f>
        <v/>
      </c>
      <c r="F44" s="50">
        <f>'2_RateCard_Unit'!$I$36</f>
        <v/>
      </c>
      <c r="G44" s="51">
        <f>INDEX('6_Funnel_And_Lifetime'!$C$51:$G$51,$B$6)</f>
        <v/>
      </c>
      <c r="H44" s="43">
        <f>E44*F44*G44</f>
        <v/>
      </c>
      <c r="I44" s="52">
        <f>INDEX('2_RateCard_Unit'!$F$36:$H$36,$B$8)</f>
        <v/>
      </c>
      <c r="J44" s="53">
        <f>H44*I44</f>
        <v/>
      </c>
      <c r="K44" s="53">
        <f>IFERROR(J44/$B$9,0)</f>
        <v/>
      </c>
      <c r="L44" s="54">
        <f>'2_RateCard_Unit'!$K$36</f>
        <v/>
      </c>
    </row>
    <row r="45">
      <c r="A45" s="27" t="inlineStr">
        <is>
          <t>D33</t>
        </is>
      </c>
      <c r="B45" s="13" t="inlineStr">
        <is>
          <t>Disbursement payout (NEFT / RTGS / IMPS API)</t>
        </is>
      </c>
      <c r="C45" s="18" t="inlineStr">
        <is>
          <t>INT-LOS-15</t>
        </is>
      </c>
      <c r="D45" s="18" t="inlineStr">
        <is>
          <t>disbursement</t>
        </is>
      </c>
      <c r="E45" s="50">
        <f>INDEX('4_Journey_Units_LOS'!$C$40:$W$40,$B$4)</f>
        <v/>
      </c>
      <c r="F45" s="50">
        <f>'2_RateCard_Unit'!$I$37</f>
        <v/>
      </c>
      <c r="G45" s="51">
        <f>INDEX('6_Funnel_And_Lifetime'!$C$52:$G$52,$B$6)</f>
        <v/>
      </c>
      <c r="H45" s="43">
        <f>E45*F45*G45</f>
        <v/>
      </c>
      <c r="I45" s="52">
        <f>INDEX('2_RateCard_Unit'!$F$37:$H$37,$B$8)</f>
        <v/>
      </c>
      <c r="J45" s="53">
        <f>H45*I45</f>
        <v/>
      </c>
      <c r="K45" s="53">
        <f>IFERROR(J45/$B$9,0)</f>
        <v/>
      </c>
      <c r="L45" s="54">
        <f>'2_RateCard_Unit'!$K$37</f>
        <v/>
      </c>
    </row>
    <row r="46">
      <c r="A46" s="27" t="inlineStr">
        <is>
          <t>D34</t>
        </is>
      </c>
      <c r="B46" s="13" t="inlineStr">
        <is>
          <t>Escrow / co-lending funding instruction</t>
        </is>
      </c>
      <c r="C46" s="18" t="inlineStr">
        <is>
          <t>INT-LOS-16</t>
        </is>
      </c>
      <c r="D46" s="18" t="inlineStr">
        <is>
          <t>disbursement</t>
        </is>
      </c>
      <c r="E46" s="50">
        <f>INDEX('4_Journey_Units_LOS'!$C$41:$W$41,$B$4)</f>
        <v/>
      </c>
      <c r="F46" s="50">
        <f>'2_RateCard_Unit'!$I$38</f>
        <v/>
      </c>
      <c r="G46" s="51">
        <f>INDEX('6_Funnel_And_Lifetime'!$C$53:$G$53,$B$6)</f>
        <v/>
      </c>
      <c r="H46" s="43">
        <f>E46*F46*G46</f>
        <v/>
      </c>
      <c r="I46" s="52">
        <f>INDEX('2_RateCard_Unit'!$F$38:$H$38,$B$8)</f>
        <v/>
      </c>
      <c r="J46" s="53">
        <f>H46*I46</f>
        <v/>
      </c>
      <c r="K46" s="53">
        <f>IFERROR(J46/$B$9,0)</f>
        <v/>
      </c>
      <c r="L46" s="54">
        <f>'2_RateCard_Unit'!$K$38</f>
        <v/>
      </c>
    </row>
    <row r="47">
      <c r="A47" s="27" t="inlineStr">
        <is>
          <t>D35</t>
        </is>
      </c>
      <c r="B47" s="13" t="inlineStr">
        <is>
          <t>eNACH / eMandate registration (UMRN)</t>
        </is>
      </c>
      <c r="C47" s="18" t="inlineStr">
        <is>
          <t>INT-LMS-02</t>
        </is>
      </c>
      <c r="D47" s="18" t="inlineStr">
        <is>
          <t>disbursement</t>
        </is>
      </c>
      <c r="E47" s="50">
        <f>INDEX('4_Journey_Units_LOS'!$C$42:$W$42,$B$4)</f>
        <v/>
      </c>
      <c r="F47" s="50">
        <f>'2_RateCard_Unit'!$I$39</f>
        <v/>
      </c>
      <c r="G47" s="51">
        <f>INDEX('6_Funnel_And_Lifetime'!$C$54:$G$54,$B$6)</f>
        <v/>
      </c>
      <c r="H47" s="43">
        <f>E47*F47*G47</f>
        <v/>
      </c>
      <c r="I47" s="52">
        <f>INDEX('2_RateCard_Unit'!$F$39:$H$39,$B$8)</f>
        <v/>
      </c>
      <c r="J47" s="53">
        <f>H47*I47</f>
        <v/>
      </c>
      <c r="K47" s="53">
        <f>IFERROR(J47/$B$9,0)</f>
        <v/>
      </c>
      <c r="L47" s="54">
        <f>'2_RateCard_Unit'!$K$39</f>
        <v/>
      </c>
    </row>
    <row r="48">
      <c r="A48" s="27" t="inlineStr">
        <is>
          <t>D36</t>
        </is>
      </c>
      <c r="B48" s="13" t="inlineStr">
        <is>
          <t>Offline field work-pack sync and replay</t>
        </is>
      </c>
      <c r="C48" s="18" t="inlineStr">
        <is>
          <t>INT-CUS-07</t>
        </is>
      </c>
      <c r="D48" s="18" t="inlineStr">
        <is>
          <t>application_capture</t>
        </is>
      </c>
      <c r="E48" s="50">
        <f>INDEX('4_Journey_Units_LOS'!$C$43:$W$43,$B$4)</f>
        <v/>
      </c>
      <c r="F48" s="50">
        <f>'2_RateCard_Unit'!$I$40</f>
        <v/>
      </c>
      <c r="G48" s="51">
        <f>INDEX('6_Funnel_And_Lifetime'!$C$55:$G$55,$B$6)</f>
        <v/>
      </c>
      <c r="H48" s="43">
        <f>E48*F48*G48</f>
        <v/>
      </c>
      <c r="I48" s="52">
        <f>INDEX('2_RateCard_Unit'!$F$40:$H$40,$B$8)</f>
        <v/>
      </c>
      <c r="J48" s="53">
        <f>H48*I48</f>
        <v/>
      </c>
      <c r="K48" s="53">
        <f>IFERROR(J48/$B$9,0)</f>
        <v/>
      </c>
      <c r="L48" s="54">
        <f>'2_RateCard_Unit'!$K$40</f>
        <v/>
      </c>
    </row>
    <row r="49">
      <c r="A49" s="27" t="inlineStr">
        <is>
          <t>D37</t>
        </is>
      </c>
      <c r="B49" s="13" t="inlineStr">
        <is>
          <t>Asset registry verification (VAHAN/RC, depository lien)</t>
        </is>
      </c>
      <c r="C49" s="18" t="inlineStr">
        <is>
          <t>INT-COLAT-01</t>
        </is>
      </c>
      <c r="D49" s="18" t="inlineStr">
        <is>
          <t>specialist_assessment</t>
        </is>
      </c>
      <c r="E49" s="50">
        <f>INDEX('4_Journey_Units_LOS'!$C$44:$W$44,$B$4)</f>
        <v/>
      </c>
      <c r="F49" s="50">
        <f>'2_RateCard_Unit'!$I$41</f>
        <v/>
      </c>
      <c r="G49" s="51">
        <f>INDEX('6_Funnel_And_Lifetime'!$C$56:$G$56,$B$6)</f>
        <v/>
      </c>
      <c r="H49" s="43">
        <f>E49*F49*G49</f>
        <v/>
      </c>
      <c r="I49" s="52">
        <f>INDEX('2_RateCard_Unit'!$F$41:$H$41,$B$8)</f>
        <v/>
      </c>
      <c r="J49" s="53">
        <f>H49*I49</f>
        <v/>
      </c>
      <c r="K49" s="53">
        <f>IFERROR(J49/$B$9,0)</f>
        <v/>
      </c>
      <c r="L49" s="54">
        <f>'2_RateCard_Unit'!$K$41</f>
        <v/>
      </c>
    </row>
    <row r="50">
      <c r="A50" s="27" t="inlineStr">
        <is>
          <t>D38</t>
        </is>
      </c>
      <c r="B50" s="13" t="inlineStr">
        <is>
          <t>Agent knowledge retrieval (vector query)</t>
        </is>
      </c>
      <c r="C50" s="18" t="inlineStr">
        <is>
          <t>INT-RSK-08</t>
        </is>
      </c>
      <c r="D50" s="18" t="inlineStr">
        <is>
          <t>multiple</t>
        </is>
      </c>
      <c r="E50" s="50">
        <f>INDEX('4_Journey_Units_LOS'!$C$45:$W$45,$B$4)</f>
        <v/>
      </c>
      <c r="F50" s="50">
        <f>'2_RateCard_Unit'!$I$42</f>
        <v/>
      </c>
      <c r="G50" s="51">
        <f>INDEX('6_Funnel_And_Lifetime'!$C$57:$G$57,$B$6)</f>
        <v/>
      </c>
      <c r="H50" s="43">
        <f>E50*F50*G50</f>
        <v/>
      </c>
      <c r="I50" s="52">
        <f>INDEX('2_RateCard_Unit'!$F$42:$H$42,$B$8)</f>
        <v/>
      </c>
      <c r="J50" s="53">
        <f>H50*I50</f>
        <v/>
      </c>
      <c r="K50" s="53">
        <f>IFERROR(J50/$B$9,0)</f>
        <v/>
      </c>
      <c r="L50" s="54">
        <f>'2_RateCard_Unit'!$K$42</f>
        <v/>
      </c>
    </row>
    <row r="52">
      <c r="B52" s="30" t="inlineStr">
        <is>
          <t>TOTAL ORIGINATION EXTERNAL COST</t>
        </is>
      </c>
      <c r="J52" s="55">
        <f>SUM(J13:J50)</f>
        <v/>
      </c>
      <c r="K52" s="55">
        <f>SUM(K13:K50)</f>
        <v/>
      </c>
    </row>
    <row r="53">
      <c r="B53" s="13" t="inlineStr">
        <is>
          <t xml:space="preserve">  of which platform-borne</t>
        </is>
      </c>
      <c r="J53" s="53">
        <f>SUMIF($L$13:$L$50,"No",J13:J50)</f>
        <v/>
      </c>
      <c r="K53" s="53">
        <f>SUMIF($L$13:$L$50,"No",K13:K50)</f>
        <v/>
      </c>
    </row>
    <row r="54">
      <c r="B54" s="13" t="inlineStr">
        <is>
          <t xml:space="preserve">  of which pass-through</t>
        </is>
      </c>
      <c r="J54" s="53">
        <f>SUMIF($L$13:$L$50,"Yes",J13:J50)</f>
        <v/>
      </c>
      <c r="K54" s="53">
        <f>SUMIF($L$13:$L$50,"Yes",K13:K50)</f>
        <v/>
      </c>
    </row>
    <row r="56">
      <c r="B56" s="26" t="inlineStr">
        <is>
          <t>Origination cost per funded loan as bps of ticket</t>
        </is>
      </c>
      <c r="K56" s="56">
        <f>IFERROR(K52/$B$7*10000,0)</f>
        <v/>
      </c>
    </row>
    <row r="57">
      <c r="B57" s="5" t="inlineStr">
        <is>
          <t>Largest single driver</t>
        </is>
      </c>
      <c r="D57" s="13">
        <f>INDEX($B$13:$B$50,MATCH(MAX(K13:K50),K13:K50,0))</f>
        <v/>
      </c>
      <c r="K57" s="53">
        <f>MAX(K13:K50)</f>
        <v/>
      </c>
    </row>
    <row r="59">
      <c r="B59" s="7" t="inlineStr">
        <is>
          <t>The gap between column J and column K is the funnel tax: verification you pay for on applications that never fund.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
  <sheetViews>
    <sheetView showGridLines="0" workbookViewId="0">
      <pane xSplit="1" ySplit="14" topLeftCell="B1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14" customWidth="1" min="3" max="3"/>
    <col width="21" customWidth="1" min="4" max="4"/>
    <col width="13" customWidth="1" min="5" max="5"/>
    <col width="14" customWidth="1" min="6" max="6"/>
    <col width="11" customWidth="1" min="7" max="7"/>
    <col width="12" customWidth="1" min="8" max="8"/>
    <col width="17" customWidth="1" min="9" max="9"/>
    <col width="13" customWidth="1" min="10" max="10"/>
  </cols>
  <sheetData>
    <row r="1">
      <c r="A1" s="1" t="inlineStr">
        <is>
          <t>8 — Servicing, closure and collections cost engine</t>
        </is>
      </c>
    </row>
    <row r="2">
      <c r="A2" s="2" t="inlineStr">
        <is>
          <t>Cost per funded loan over its WHOLE LIFE. Servicing units are multiplied by the basis quantity the loan generates (loan-months, EMIs, loan-years, one closure); collections events come from the delinquency profile.</t>
        </is>
      </c>
    </row>
    <row r="3">
      <c r="A3" s="26" t="inlineStr">
        <is>
          <t>Journey</t>
        </is>
      </c>
      <c r="B3" s="46">
        <f>'1_Inputs'!$B$18</f>
        <v/>
      </c>
    </row>
    <row r="4">
      <c r="A4" s="26" t="inlineStr">
        <is>
          <t>Journey column index</t>
        </is>
      </c>
      <c r="B4" s="47">
        <f>'1_Inputs'!$B$55</f>
        <v/>
      </c>
    </row>
    <row r="5">
      <c r="A5" s="26" t="inlineStr">
        <is>
          <t>Lifetime row index</t>
        </is>
      </c>
      <c r="B5" s="47">
        <f>IFERROR(MATCH($B$3,'6_Funnel_And_Lifetime'!$A$63:$A$83,0),1)</f>
        <v/>
      </c>
    </row>
    <row r="6">
      <c r="A6" s="26" t="inlineStr">
        <is>
          <t>Rate card scenario index</t>
        </is>
      </c>
      <c r="B6" s="47">
        <f>'1_Inputs'!$B$54</f>
        <v/>
      </c>
    </row>
    <row r="7">
      <c r="A7" s="26" t="inlineStr">
        <is>
          <t>Effective life (months)</t>
        </is>
      </c>
      <c r="B7" s="57">
        <f>INDEX('6_Funnel_And_Lifetime'!$E$63:$E$83,$B$5)</f>
        <v/>
      </c>
    </row>
    <row r="8">
      <c r="A8" s="26" t="inlineStr">
        <is>
          <t>Effective life (years)</t>
        </is>
      </c>
      <c r="B8" s="57">
        <f>INDEX('6_Funnel_And_Lifetime'!$F$63:$F$83,$B$5)</f>
        <v/>
      </c>
    </row>
    <row r="9">
      <c r="A9" s="26" t="inlineStr">
        <is>
          <t>EMI count over life</t>
        </is>
      </c>
      <c r="B9" s="57">
        <f>INDEX('6_Funnel_And_Lifetime'!$H$63:$H$83,$B$5)</f>
        <v/>
      </c>
    </row>
    <row r="10">
      <c r="A10" s="26" t="inlineStr">
        <is>
          <t>Bounced EMIs over life</t>
        </is>
      </c>
      <c r="B10" s="57">
        <f>INDEX('6_Funnel_And_Lifetime'!$J$63:$J$83,$B$5)</f>
        <v/>
      </c>
    </row>
    <row r="11">
      <c r="A11" s="26" t="inlineStr">
        <is>
          <t>Delinquent loan-months (all buckets)</t>
        </is>
      </c>
      <c r="B11" s="57">
        <f>INDEX('6_Funnel_And_Lifetime'!$N$63:$N$83,$B$5)+INDEX('6_Funnel_And_Lifetime'!$O$63:$O$83,$B$5)+INDEX('6_Funnel_And_Lifetime'!$P$63:$P$83,$B$5)</f>
        <v/>
      </c>
    </row>
    <row r="14" ht="32" customHeight="1">
      <c r="A14" s="11" t="inlineStr">
        <is>
          <t>Driver ID</t>
        </is>
      </c>
      <c r="B14" s="11" t="inlineStr">
        <is>
          <t>Cost driver</t>
        </is>
      </c>
      <c r="C14" s="11" t="inlineStr">
        <is>
          <t>INT ID</t>
        </is>
      </c>
      <c r="D14" s="11" t="inlineStr">
        <is>
          <t>Basis</t>
        </is>
      </c>
      <c r="E14" s="11" t="inlineStr">
        <is>
          <t>Units per basis-unit</t>
        </is>
      </c>
      <c r="F14" s="11" t="inlineStr">
        <is>
          <t>Basis qty over life</t>
        </is>
      </c>
      <c r="G14" s="11" t="inlineStr">
        <is>
          <t>Attempts</t>
        </is>
      </c>
      <c r="H14" s="11" t="inlineStr">
        <is>
          <t>Unit cost ₹</t>
        </is>
      </c>
      <c r="I14" s="11" t="inlineStr">
        <is>
          <t>₹ per FUNDED loan (lifetime)</t>
        </is>
      </c>
      <c r="J14" s="11" t="inlineStr">
        <is>
          <t>Pass-through?</t>
        </is>
      </c>
    </row>
    <row r="15">
      <c r="A15" s="24" t="inlineStr">
        <is>
          <t>S01</t>
        </is>
      </c>
      <c r="B15" s="13" t="inlineStr">
        <is>
          <t>CBS / GL posting and acknowledgement</t>
        </is>
      </c>
      <c r="C15" s="18" t="inlineStr">
        <is>
          <t>INT-LMS-01</t>
        </is>
      </c>
      <c r="D15" s="18" t="inlineStr">
        <is>
          <t>per_loan_month</t>
        </is>
      </c>
      <c r="E15" s="50">
        <f>INDEX('5_Journey_Units_Service'!$C$6:$W$6,$B$4)</f>
        <v/>
      </c>
      <c r="F15" s="50">
        <f>INDEX('6_Funnel_And_Lifetime'!$C$104:$W$104,$B$4)</f>
        <v/>
      </c>
      <c r="G15" s="50">
        <f>'2_RateCard_Unit'!$I$43</f>
        <v/>
      </c>
      <c r="H15" s="52">
        <f>INDEX('2_RateCard_Unit'!$F$43:$H$43,$B$6)</f>
        <v/>
      </c>
      <c r="I15" s="53">
        <f>E15*F15*G15*H15</f>
        <v/>
      </c>
      <c r="J15" s="54">
        <f>'2_RateCard_Unit'!$K$43</f>
        <v/>
      </c>
    </row>
    <row r="16">
      <c r="A16" s="24" t="inlineStr">
        <is>
          <t>S02</t>
        </is>
      </c>
      <c r="B16" s="13" t="inlineStr">
        <is>
          <t>NACH / eNACH presentment</t>
        </is>
      </c>
      <c r="C16" s="18" t="inlineStr">
        <is>
          <t>INT-LMS-03</t>
        </is>
      </c>
      <c r="D16" s="18" t="inlineStr">
        <is>
          <t>per_emi</t>
        </is>
      </c>
      <c r="E16" s="50">
        <f>INDEX('5_Journey_Units_Service'!$C$7:$W$7,$B$4)</f>
        <v/>
      </c>
      <c r="F16" s="50">
        <f>INDEX('6_Funnel_And_Lifetime'!$C$105:$W$105,$B$4)</f>
        <v/>
      </c>
      <c r="G16" s="50">
        <f>'2_RateCard_Unit'!$I$44</f>
        <v/>
      </c>
      <c r="H16" s="52">
        <f>INDEX('2_RateCard_Unit'!$F$44:$H$44,$B$6)</f>
        <v/>
      </c>
      <c r="I16" s="53">
        <f>E16*F16*G16*H16</f>
        <v/>
      </c>
      <c r="J16" s="54">
        <f>'2_RateCard_Unit'!$K$44</f>
        <v/>
      </c>
    </row>
    <row r="17">
      <c r="A17" s="24" t="inlineStr">
        <is>
          <t>S03</t>
        </is>
      </c>
      <c r="B17" s="13" t="inlineStr">
        <is>
          <t>Bounce / return handling</t>
        </is>
      </c>
      <c r="C17" s="18" t="inlineStr">
        <is>
          <t>INT-LMS-03</t>
        </is>
      </c>
      <c r="D17" s="18" t="inlineStr">
        <is>
          <t>per_bounced_emi</t>
        </is>
      </c>
      <c r="E17" s="50">
        <f>INDEX('5_Journey_Units_Service'!$C$8:$W$8,$B$4)</f>
        <v/>
      </c>
      <c r="F17" s="50">
        <f>INDEX('6_Funnel_And_Lifetime'!$C$106:$W$106,$B$4)</f>
        <v/>
      </c>
      <c r="G17" s="50">
        <f>'2_RateCard_Unit'!$I$45</f>
        <v/>
      </c>
      <c r="H17" s="52">
        <f>INDEX('2_RateCard_Unit'!$F$45:$H$45,$B$6)</f>
        <v/>
      </c>
      <c r="I17" s="53">
        <f>E17*F17*G17*H17</f>
        <v/>
      </c>
      <c r="J17" s="54">
        <f>'2_RateCard_Unit'!$K$45</f>
        <v/>
      </c>
    </row>
    <row r="18">
      <c r="A18" s="24" t="inlineStr">
        <is>
          <t>S04</t>
        </is>
      </c>
      <c r="B18" s="13" t="inlineStr">
        <is>
          <t>Receipt matching and reconciliation (UTR)</t>
        </is>
      </c>
      <c r="C18" s="18" t="inlineStr">
        <is>
          <t>INT-LMS-04</t>
        </is>
      </c>
      <c r="D18" s="18" t="inlineStr">
        <is>
          <t>per_emi</t>
        </is>
      </c>
      <c r="E18" s="50">
        <f>INDEX('5_Journey_Units_Service'!$C$9:$W$9,$B$4)</f>
        <v/>
      </c>
      <c r="F18" s="50">
        <f>INDEX('6_Funnel_And_Lifetime'!$C$107:$W$107,$B$4)</f>
        <v/>
      </c>
      <c r="G18" s="50">
        <f>'2_RateCard_Unit'!$I$46</f>
        <v/>
      </c>
      <c r="H18" s="52">
        <f>INDEX('2_RateCard_Unit'!$F$46:$H$46,$B$6)</f>
        <v/>
      </c>
      <c r="I18" s="53">
        <f>E18*F18*G18*H18</f>
        <v/>
      </c>
      <c r="J18" s="54">
        <f>'2_RateCard_Unit'!$K$46</f>
        <v/>
      </c>
    </row>
    <row r="19">
      <c r="A19" s="24" t="inlineStr">
        <is>
          <t>S05</t>
        </is>
      </c>
      <c r="B19" s="13" t="inlineStr">
        <is>
          <t>Servicing notices (EMI, rate, penal, statement)</t>
        </is>
      </c>
      <c r="C19" s="18" t="inlineStr">
        <is>
          <t>INT-LMS-06</t>
        </is>
      </c>
      <c r="D19" s="18" t="inlineStr">
        <is>
          <t>per_loan_month</t>
        </is>
      </c>
      <c r="E19" s="50">
        <f>INDEX('5_Journey_Units_Service'!$C$10:$W$10,$B$4)</f>
        <v/>
      </c>
      <c r="F19" s="50">
        <f>INDEX('6_Funnel_And_Lifetime'!$C$108:$W$108,$B$4)</f>
        <v/>
      </c>
      <c r="G19" s="50">
        <f>'2_RateCard_Unit'!$I$47</f>
        <v/>
      </c>
      <c r="H19" s="52">
        <f>INDEX('2_RateCard_Unit'!$F$47:$H$47,$B$6)</f>
        <v/>
      </c>
      <c r="I19" s="53">
        <f>E19*F19*G19*H19</f>
        <v/>
      </c>
      <c r="J19" s="54">
        <f>'2_RateCard_Unit'!$K$47</f>
        <v/>
      </c>
    </row>
    <row r="20">
      <c r="A20" s="24" t="inlineStr">
        <is>
          <t>S06</t>
        </is>
      </c>
      <c r="B20" s="13" t="inlineStr">
        <is>
          <t>Statement render, vault store and retention</t>
        </is>
      </c>
      <c r="C20" s="18" t="inlineStr">
        <is>
          <t>INT-LMS-07</t>
        </is>
      </c>
      <c r="D20" s="18" t="inlineStr">
        <is>
          <t>per_loan_month</t>
        </is>
      </c>
      <c r="E20" s="50">
        <f>INDEX('5_Journey_Units_Service'!$C$11:$W$11,$B$4)</f>
        <v/>
      </c>
      <c r="F20" s="50">
        <f>INDEX('6_Funnel_And_Lifetime'!$C$109:$W$109,$B$4)</f>
        <v/>
      </c>
      <c r="G20" s="50">
        <f>'2_RateCard_Unit'!$I$48</f>
        <v/>
      </c>
      <c r="H20" s="52">
        <f>INDEX('2_RateCard_Unit'!$F$48:$H$48,$B$6)</f>
        <v/>
      </c>
      <c r="I20" s="53">
        <f>E20*F20*G20*H20</f>
        <v/>
      </c>
      <c r="J20" s="54">
        <f>'2_RateCard_Unit'!$K$48</f>
        <v/>
      </c>
    </row>
    <row r="21">
      <c r="A21" s="24" t="inlineStr">
        <is>
          <t>S07</t>
        </is>
      </c>
      <c r="B21" s="13" t="inlineStr">
        <is>
          <t>CIC credit furnishing (monthly submission)</t>
        </is>
      </c>
      <c r="C21" s="18" t="inlineStr">
        <is>
          <t>INT-LMS-08</t>
        </is>
      </c>
      <c r="D21" s="18" t="inlineStr">
        <is>
          <t>per_loan_month</t>
        </is>
      </c>
      <c r="E21" s="50">
        <f>INDEX('5_Journey_Units_Service'!$C$12:$W$12,$B$4)</f>
        <v/>
      </c>
      <c r="F21" s="50">
        <f>INDEX('6_Funnel_And_Lifetime'!$C$110:$W$110,$B$4)</f>
        <v/>
      </c>
      <c r="G21" s="50">
        <f>'2_RateCard_Unit'!$I$49</f>
        <v/>
      </c>
      <c r="H21" s="52">
        <f>INDEX('2_RateCard_Unit'!$F$49:$H$49,$B$6)</f>
        <v/>
      </c>
      <c r="I21" s="53">
        <f>E21*F21*G21*H21</f>
        <v/>
      </c>
      <c r="J21" s="54">
        <f>'2_RateCard_Unit'!$K$49</f>
        <v/>
      </c>
    </row>
    <row r="22">
      <c r="A22" s="24" t="inlineStr">
        <is>
          <t>S08</t>
        </is>
      </c>
      <c r="B22" s="13" t="inlineStr">
        <is>
          <t>Ongoing KYC refresh / AA re-consent</t>
        </is>
      </c>
      <c r="C22" s="18" t="inlineStr">
        <is>
          <t>INT-LMS-09</t>
        </is>
      </c>
      <c r="D22" s="18" t="inlineStr">
        <is>
          <t>per_loan_year</t>
        </is>
      </c>
      <c r="E22" s="50">
        <f>INDEX('5_Journey_Units_Service'!$C$13:$W$13,$B$4)</f>
        <v/>
      </c>
      <c r="F22" s="50">
        <f>INDEX('6_Funnel_And_Lifetime'!$C$111:$W$111,$B$4)</f>
        <v/>
      </c>
      <c r="G22" s="50">
        <f>'2_RateCard_Unit'!$I$50</f>
        <v/>
      </c>
      <c r="H22" s="52">
        <f>INDEX('2_RateCard_Unit'!$F$50:$H$50,$B$6)</f>
        <v/>
      </c>
      <c r="I22" s="53">
        <f>E22*F22*G22*H22</f>
        <v/>
      </c>
      <c r="J22" s="54">
        <f>'2_RateCard_Unit'!$K$50</f>
        <v/>
      </c>
    </row>
    <row r="23">
      <c r="A23" s="24" t="inlineStr">
        <is>
          <t>S09</t>
        </is>
      </c>
      <c r="B23" s="13" t="inlineStr">
        <is>
          <t>Portfolio bureau review</t>
        </is>
      </c>
      <c r="C23" s="18" t="inlineStr">
        <is>
          <t>INT-LMS-09</t>
        </is>
      </c>
      <c r="D23" s="18" t="inlineStr">
        <is>
          <t>per_loan_year</t>
        </is>
      </c>
      <c r="E23" s="50">
        <f>INDEX('5_Journey_Units_Service'!$C$14:$W$14,$B$4)</f>
        <v/>
      </c>
      <c r="F23" s="50">
        <f>INDEX('6_Funnel_And_Lifetime'!$C$112:$W$112,$B$4)</f>
        <v/>
      </c>
      <c r="G23" s="50">
        <f>'2_RateCard_Unit'!$I$51</f>
        <v/>
      </c>
      <c r="H23" s="52">
        <f>INDEX('2_RateCard_Unit'!$F$51:$H$51,$B$6)</f>
        <v/>
      </c>
      <c r="I23" s="53">
        <f>E23*F23*G23*H23</f>
        <v/>
      </c>
      <c r="J23" s="54">
        <f>'2_RateCard_Unit'!$K$51</f>
        <v/>
      </c>
    </row>
    <row r="24">
      <c r="A24" s="24" t="inlineStr">
        <is>
          <t>S10</t>
        </is>
      </c>
      <c r="B24" s="13" t="inlineStr">
        <is>
          <t>Ongoing AML rescreen</t>
        </is>
      </c>
      <c r="C24" s="18" t="inlineStr">
        <is>
          <t>INT-LMS-09</t>
        </is>
      </c>
      <c r="D24" s="18" t="inlineStr">
        <is>
          <t>per_loan_year</t>
        </is>
      </c>
      <c r="E24" s="50">
        <f>INDEX('5_Journey_Units_Service'!$C$15:$W$15,$B$4)</f>
        <v/>
      </c>
      <c r="F24" s="50">
        <f>INDEX('6_Funnel_And_Lifetime'!$C$113:$W$113,$B$4)</f>
        <v/>
      </c>
      <c r="G24" s="50">
        <f>'2_RateCard_Unit'!$I$52</f>
        <v/>
      </c>
      <c r="H24" s="52">
        <f>INDEX('2_RateCard_Unit'!$F$52:$H$52,$B$6)</f>
        <v/>
      </c>
      <c r="I24" s="53">
        <f>E24*F24*G24*H24</f>
        <v/>
      </c>
      <c r="J24" s="54">
        <f>'2_RateCard_Unit'!$K$52</f>
        <v/>
      </c>
    </row>
    <row r="25">
      <c r="A25" s="24" t="inlineStr">
        <is>
          <t>S11</t>
        </is>
      </c>
      <c r="B25" s="13" t="inlineStr">
        <is>
          <t>Insurance renewal / collateral revaluation</t>
        </is>
      </c>
      <c r="C25" s="18" t="inlineStr">
        <is>
          <t>INT-LMS-10</t>
        </is>
      </c>
      <c r="D25" s="18" t="inlineStr">
        <is>
          <t>per_loan_year</t>
        </is>
      </c>
      <c r="E25" s="50">
        <f>INDEX('5_Journey_Units_Service'!$C$16:$W$16,$B$4)</f>
        <v/>
      </c>
      <c r="F25" s="50">
        <f>INDEX('6_Funnel_And_Lifetime'!$C$114:$W$114,$B$4)</f>
        <v/>
      </c>
      <c r="G25" s="50">
        <f>'2_RateCard_Unit'!$I$53</f>
        <v/>
      </c>
      <c r="H25" s="52">
        <f>INDEX('2_RateCard_Unit'!$F$53:$H$53,$B$6)</f>
        <v/>
      </c>
      <c r="I25" s="53">
        <f>E25*F25*G25*H25</f>
        <v/>
      </c>
      <c r="J25" s="54">
        <f>'2_RateCard_Unit'!$K$53</f>
        <v/>
      </c>
    </row>
    <row r="26">
      <c r="A26" s="24" t="inlineStr">
        <is>
          <t>S12</t>
        </is>
      </c>
      <c r="B26" s="13" t="inlineStr">
        <is>
          <t>Refund / excess / failed-disbursement reversal</t>
        </is>
      </c>
      <c r="C26" s="18" t="inlineStr">
        <is>
          <t>INT-LMS-05</t>
        </is>
      </c>
      <c r="D26" s="18" t="inlineStr">
        <is>
          <t>per_loan_year</t>
        </is>
      </c>
      <c r="E26" s="50">
        <f>INDEX('5_Journey_Units_Service'!$C$17:$W$17,$B$4)</f>
        <v/>
      </c>
      <c r="F26" s="50">
        <f>INDEX('6_Funnel_And_Lifetime'!$C$115:$W$115,$B$4)</f>
        <v/>
      </c>
      <c r="G26" s="50">
        <f>'2_RateCard_Unit'!$I$54</f>
        <v/>
      </c>
      <c r="H26" s="52">
        <f>INDEX('2_RateCard_Unit'!$F$54:$H$54,$B$6)</f>
        <v/>
      </c>
      <c r="I26" s="53">
        <f>E26*F26*G26*H26</f>
        <v/>
      </c>
      <c r="J26" s="54">
        <f>'2_RateCard_Unit'!$K$54</f>
        <v/>
      </c>
    </row>
    <row r="27">
      <c r="A27" s="24" t="inlineStr">
        <is>
          <t>S13</t>
        </is>
      </c>
      <c r="B27" s="13" t="inlineStr">
        <is>
          <t>Restructure / transfer instruction</t>
        </is>
      </c>
      <c r="C27" s="18" t="inlineStr">
        <is>
          <t>INT-LMS-11</t>
        </is>
      </c>
      <c r="D27" s="18" t="inlineStr">
        <is>
          <t>per_loan_year</t>
        </is>
      </c>
      <c r="E27" s="50">
        <f>INDEX('5_Journey_Units_Service'!$C$18:$W$18,$B$4)</f>
        <v/>
      </c>
      <c r="F27" s="50">
        <f>INDEX('6_Funnel_And_Lifetime'!$C$116:$W$116,$B$4)</f>
        <v/>
      </c>
      <c r="G27" s="50">
        <f>'2_RateCard_Unit'!$I$55</f>
        <v/>
      </c>
      <c r="H27" s="52">
        <f>INDEX('2_RateCard_Unit'!$F$55:$H$55,$B$6)</f>
        <v/>
      </c>
      <c r="I27" s="53">
        <f>E27*F27*G27*H27</f>
        <v/>
      </c>
      <c r="J27" s="54">
        <f>'2_RateCard_Unit'!$K$55</f>
        <v/>
      </c>
    </row>
    <row r="28">
      <c r="A28" s="24" t="inlineStr">
        <is>
          <t>S14</t>
        </is>
      </c>
      <c r="B28" s="13" t="inlineStr">
        <is>
          <t>Closure: mandate cancel, NOC generation and delivery</t>
        </is>
      </c>
      <c r="C28" s="18" t="inlineStr">
        <is>
          <t>INT-LMS-12</t>
        </is>
      </c>
      <c r="D28" s="18" t="inlineStr">
        <is>
          <t>per_closure</t>
        </is>
      </c>
      <c r="E28" s="50">
        <f>INDEX('5_Journey_Units_Service'!$C$19:$W$19,$B$4)</f>
        <v/>
      </c>
      <c r="F28" s="50">
        <f>INDEX('6_Funnel_And_Lifetime'!$C$117:$W$117,$B$4)</f>
        <v/>
      </c>
      <c r="G28" s="50">
        <f>'2_RateCard_Unit'!$I$56</f>
        <v/>
      </c>
      <c r="H28" s="52">
        <f>INDEX('2_RateCard_Unit'!$F$56:$H$56,$B$6)</f>
        <v/>
      </c>
      <c r="I28" s="53">
        <f>E28*F28*G28*H28</f>
        <v/>
      </c>
      <c r="J28" s="54">
        <f>'2_RateCard_Unit'!$K$56</f>
        <v/>
      </c>
    </row>
    <row r="29">
      <c r="A29" s="24" t="inlineStr">
        <is>
          <t>S15</t>
        </is>
      </c>
      <c r="B29" s="13" t="inlineStr">
        <is>
          <t>Security registry satisfaction (CERSAI / ROC / RTO)</t>
        </is>
      </c>
      <c r="C29" s="18" t="inlineStr">
        <is>
          <t>INT-COLAT-04</t>
        </is>
      </c>
      <c r="D29" s="18" t="inlineStr">
        <is>
          <t>per_closure</t>
        </is>
      </c>
      <c r="E29" s="50">
        <f>INDEX('5_Journey_Units_Service'!$C$20:$W$20,$B$4)</f>
        <v/>
      </c>
      <c r="F29" s="50">
        <f>INDEX('6_Funnel_And_Lifetime'!$C$118:$W$118,$B$4)</f>
        <v/>
      </c>
      <c r="G29" s="50">
        <f>'2_RateCard_Unit'!$I$57</f>
        <v/>
      </c>
      <c r="H29" s="52">
        <f>INDEX('2_RateCard_Unit'!$F$57:$H$57,$B$6)</f>
        <v/>
      </c>
      <c r="I29" s="53">
        <f>E29*F29*G29*H29</f>
        <v/>
      </c>
      <c r="J29" s="54">
        <f>'2_RateCard_Unit'!$K$57</f>
        <v/>
      </c>
    </row>
    <row r="30">
      <c r="A30" s="24" t="inlineStr">
        <is>
          <t>S16</t>
        </is>
      </c>
      <c r="B30" s="13" t="inlineStr">
        <is>
          <t>Custody return and release acknowledgement</t>
        </is>
      </c>
      <c r="C30" s="18" t="inlineStr">
        <is>
          <t>INT-COLAT-06</t>
        </is>
      </c>
      <c r="D30" s="18" t="inlineStr">
        <is>
          <t>per_closure</t>
        </is>
      </c>
      <c r="E30" s="50">
        <f>INDEX('5_Journey_Units_Service'!$C$21:$W$21,$B$4)</f>
        <v/>
      </c>
      <c r="F30" s="50">
        <f>INDEX('6_Funnel_And_Lifetime'!$C$119:$W$119,$B$4)</f>
        <v/>
      </c>
      <c r="G30" s="50">
        <f>'2_RateCard_Unit'!$I$58</f>
        <v/>
      </c>
      <c r="H30" s="52">
        <f>INDEX('2_RateCard_Unit'!$F$58:$H$58,$B$6)</f>
        <v/>
      </c>
      <c r="I30" s="53">
        <f>E30*F30*G30*H30</f>
        <v/>
      </c>
      <c r="J30" s="54">
        <f>'2_RateCard_Unit'!$K$58</f>
        <v/>
      </c>
    </row>
    <row r="31">
      <c r="B31" s="30" t="inlineStr">
        <is>
          <t>Lifetime SERVICING cost per funded loan</t>
        </is>
      </c>
      <c r="I31" s="55">
        <f>SUM(I15:I30)</f>
        <v/>
      </c>
    </row>
    <row r="33" ht="32" customHeight="1">
      <c r="A33" s="11" t="inlineStr">
        <is>
          <t>Driver ID</t>
        </is>
      </c>
      <c r="B33" s="11" t="inlineStr">
        <is>
          <t>Collections driver</t>
        </is>
      </c>
      <c r="C33" s="11" t="inlineStr">
        <is>
          <t>INT ID</t>
        </is>
      </c>
      <c r="D33" s="11" t="inlineStr">
        <is>
          <t>Basis</t>
        </is>
      </c>
      <c r="E33" s="11" t="inlineStr">
        <is>
          <t>Applicability</t>
        </is>
      </c>
      <c r="F33" s="11" t="inlineStr">
        <is>
          <t>Events per funded loan</t>
        </is>
      </c>
      <c r="G33" s="11" t="inlineStr">
        <is>
          <t>Attempts</t>
        </is>
      </c>
      <c r="H33" s="11" t="inlineStr">
        <is>
          <t>Unit cost ₹</t>
        </is>
      </c>
      <c r="I33" s="11" t="inlineStr">
        <is>
          <t>₹ per FUNDED loan (lifetime)</t>
        </is>
      </c>
      <c r="J33" s="11" t="inlineStr">
        <is>
          <t>Pass-through?</t>
        </is>
      </c>
    </row>
    <row r="34">
      <c r="A34" s="25" t="inlineStr">
        <is>
          <t>C01</t>
        </is>
      </c>
      <c r="B34" s="13" t="inlineStr">
        <is>
          <t>Tele-collections (dialer, IVR, agent, recording)</t>
        </is>
      </c>
      <c r="C34" s="18" t="inlineStr">
        <is>
          <t>INT-COL-01</t>
        </is>
      </c>
      <c r="D34" s="18" t="inlineStr">
        <is>
          <t>per_collection_event</t>
        </is>
      </c>
      <c r="E34" s="50">
        <f>INDEX('5_Journey_Units_Service'!$C$24:$W$24,$B$4)</f>
        <v/>
      </c>
      <c r="F34" s="58">
        <f>INDEX('6_Funnel_And_Lifetime'!$C$124:$W$124,$B$4)</f>
        <v/>
      </c>
      <c r="G34" s="50">
        <f>'2_RateCard_Unit'!$I$59</f>
        <v/>
      </c>
      <c r="H34" s="52">
        <f>INDEX('2_RateCard_Unit'!$F$59:$H$59,$B$6)</f>
        <v/>
      </c>
      <c r="I34" s="53">
        <f>F34*G34*H34</f>
        <v/>
      </c>
      <c r="J34" s="54">
        <f>'2_RateCard_Unit'!$K$59</f>
        <v/>
      </c>
    </row>
    <row r="35">
      <c r="A35" s="25" t="inlineStr">
        <is>
          <t>C02</t>
        </is>
      </c>
      <c r="B35" s="13" t="inlineStr">
        <is>
          <t>Digital collection retry (UPI / link / NACH)</t>
        </is>
      </c>
      <c r="C35" s="18" t="inlineStr">
        <is>
          <t>INT-COL-02</t>
        </is>
      </c>
      <c r="D35" s="18" t="inlineStr">
        <is>
          <t>per_collection_event</t>
        </is>
      </c>
      <c r="E35" s="50">
        <f>INDEX('5_Journey_Units_Service'!$C$25:$W$25,$B$4)</f>
        <v/>
      </c>
      <c r="F35" s="58">
        <f>INDEX('6_Funnel_And_Lifetime'!$C$125:$W$125,$B$4)</f>
        <v/>
      </c>
      <c r="G35" s="50">
        <f>'2_RateCard_Unit'!$I$60</f>
        <v/>
      </c>
      <c r="H35" s="52">
        <f>INDEX('2_RateCard_Unit'!$F$60:$H$60,$B$6)</f>
        <v/>
      </c>
      <c r="I35" s="53">
        <f>F35*G35*H35</f>
        <v/>
      </c>
      <c r="J35" s="54">
        <f>'2_RateCard_Unit'!$K$60</f>
        <v/>
      </c>
    </row>
    <row r="36">
      <c r="A36" s="25" t="inlineStr">
        <is>
          <t>C03</t>
        </is>
      </c>
      <c r="B36" s="13" t="inlineStr">
        <is>
          <t>Field collection visit</t>
        </is>
      </c>
      <c r="C36" s="18" t="inlineStr">
        <is>
          <t>INT-COL-03</t>
        </is>
      </c>
      <c r="D36" s="18" t="inlineStr">
        <is>
          <t>per_collection_event</t>
        </is>
      </c>
      <c r="E36" s="50">
        <f>INDEX('5_Journey_Units_Service'!$C$26:$W$26,$B$4)</f>
        <v/>
      </c>
      <c r="F36" s="58">
        <f>INDEX('6_Funnel_And_Lifetime'!$C$126:$W$126,$B$4)</f>
        <v/>
      </c>
      <c r="G36" s="50">
        <f>'2_RateCard_Unit'!$I$61</f>
        <v/>
      </c>
      <c r="H36" s="52">
        <f>INDEX('2_RateCard_Unit'!$F$61:$H$61,$B$6)</f>
        <v/>
      </c>
      <c r="I36" s="53">
        <f>F36*G36*H36</f>
        <v/>
      </c>
      <c r="J36" s="54">
        <f>'2_RateCard_Unit'!$K$61</f>
        <v/>
      </c>
    </row>
    <row r="37">
      <c r="A37" s="25" t="inlineStr">
        <is>
          <t>C04</t>
        </is>
      </c>
      <c r="B37" s="13" t="inlineStr">
        <is>
          <t>Agency oversight, roster and invoice handling</t>
        </is>
      </c>
      <c r="C37" s="18" t="inlineStr">
        <is>
          <t>INT-COL-04</t>
        </is>
      </c>
      <c r="D37" s="18" t="inlineStr">
        <is>
          <t>per_collection_event</t>
        </is>
      </c>
      <c r="E37" s="50">
        <f>INDEX('5_Journey_Units_Service'!$C$27:$W$27,$B$4)</f>
        <v/>
      </c>
      <c r="F37" s="58">
        <f>INDEX('6_Funnel_And_Lifetime'!$C$127:$W$127,$B$4)</f>
        <v/>
      </c>
      <c r="G37" s="50">
        <f>'2_RateCard_Unit'!$I$62</f>
        <v/>
      </c>
      <c r="H37" s="52">
        <f>INDEX('2_RateCard_Unit'!$F$62:$H$62,$B$6)</f>
        <v/>
      </c>
      <c r="I37" s="53">
        <f>F37*G37*H37</f>
        <v/>
      </c>
      <c r="J37" s="54">
        <f>'2_RateCard_Unit'!$K$62</f>
        <v/>
      </c>
    </row>
    <row r="38">
      <c r="A38" s="25" t="inlineStr">
        <is>
          <t>C05</t>
        </is>
      </c>
      <c r="B38" s="13" t="inlineStr">
        <is>
          <t>Legal case filing and eCourts tracking</t>
        </is>
      </c>
      <c r="C38" s="18" t="inlineStr">
        <is>
          <t>INT-COL-05</t>
        </is>
      </c>
      <c r="D38" s="18" t="inlineStr">
        <is>
          <t>per_collection_event</t>
        </is>
      </c>
      <c r="E38" s="50">
        <f>INDEX('5_Journey_Units_Service'!$C$28:$W$28,$B$4)</f>
        <v/>
      </c>
      <c r="F38" s="58">
        <f>INDEX('6_Funnel_And_Lifetime'!$C$128:$W$128,$B$4)</f>
        <v/>
      </c>
      <c r="G38" s="50">
        <f>'2_RateCard_Unit'!$I$63</f>
        <v/>
      </c>
      <c r="H38" s="52">
        <f>INDEX('2_RateCard_Unit'!$F$63:$H$63,$B$6)</f>
        <v/>
      </c>
      <c r="I38" s="53">
        <f>F38*G38*H38</f>
        <v/>
      </c>
      <c r="J38" s="54">
        <f>'2_RateCard_Unit'!$K$63</f>
        <v/>
      </c>
    </row>
    <row r="39">
      <c r="A39" s="25" t="inlineStr">
        <is>
          <t>C06</t>
        </is>
      </c>
      <c r="B39" s="13" t="inlineStr">
        <is>
          <t>Security enforcement (notice, possession, custodian)</t>
        </is>
      </c>
      <c r="C39" s="18" t="inlineStr">
        <is>
          <t>INT-COL-06</t>
        </is>
      </c>
      <c r="D39" s="18" t="inlineStr">
        <is>
          <t>per_collection_event</t>
        </is>
      </c>
      <c r="E39" s="50">
        <f>INDEX('5_Journey_Units_Service'!$C$29:$W$29,$B$4)</f>
        <v/>
      </c>
      <c r="F39" s="58">
        <f>INDEX('6_Funnel_And_Lifetime'!$C$129:$W$129,$B$4)</f>
        <v/>
      </c>
      <c r="G39" s="50">
        <f>'2_RateCard_Unit'!$I$64</f>
        <v/>
      </c>
      <c r="H39" s="52">
        <f>INDEX('2_RateCard_Unit'!$F$64:$H$64,$B$6)</f>
        <v/>
      </c>
      <c r="I39" s="53">
        <f>F39*G39*H39</f>
        <v/>
      </c>
      <c r="J39" s="54">
        <f>'2_RateCard_Unit'!$K$64</f>
        <v/>
      </c>
    </row>
    <row r="40">
      <c r="A40" s="25" t="inlineStr">
        <is>
          <t>C07</t>
        </is>
      </c>
      <c r="B40" s="13" t="inlineStr">
        <is>
          <t>Auction (publish, bidder KYC, certificate)</t>
        </is>
      </c>
      <c r="C40" s="18" t="inlineStr">
        <is>
          <t>INT-COL-07</t>
        </is>
      </c>
      <c r="D40" s="18" t="inlineStr">
        <is>
          <t>per_collection_event</t>
        </is>
      </c>
      <c r="E40" s="50">
        <f>INDEX('5_Journey_Units_Service'!$C$30:$W$30,$B$4)</f>
        <v/>
      </c>
      <c r="F40" s="58">
        <f>INDEX('6_Funnel_And_Lifetime'!$C$130:$W$130,$B$4)</f>
        <v/>
      </c>
      <c r="G40" s="50">
        <f>'2_RateCard_Unit'!$I$65</f>
        <v/>
      </c>
      <c r="H40" s="52">
        <f>INDEX('2_RateCard_Unit'!$F$65:$H$65,$B$6)</f>
        <v/>
      </c>
      <c r="I40" s="53">
        <f>F40*G40*H40</f>
        <v/>
      </c>
      <c r="J40" s="54">
        <f>'2_RateCard_Unit'!$K$65</f>
        <v/>
      </c>
    </row>
    <row r="41">
      <c r="A41" s="25" t="inlineStr">
        <is>
          <t>C08</t>
        </is>
      </c>
      <c r="B41" s="13" t="inlineStr">
        <is>
          <t>Recovery proceeds handling and GL posting</t>
        </is>
      </c>
      <c r="C41" s="18" t="inlineStr">
        <is>
          <t>INT-COL-08</t>
        </is>
      </c>
      <c r="D41" s="18" t="inlineStr">
        <is>
          <t>per_collection_event</t>
        </is>
      </c>
      <c r="E41" s="50">
        <f>INDEX('5_Journey_Units_Service'!$C$31:$W$31,$B$4)</f>
        <v/>
      </c>
      <c r="F41" s="58">
        <f>INDEX('6_Funnel_And_Lifetime'!$C$131:$W$131,$B$4)</f>
        <v/>
      </c>
      <c r="G41" s="50">
        <f>'2_RateCard_Unit'!$I$66</f>
        <v/>
      </c>
      <c r="H41" s="52">
        <f>INDEX('2_RateCard_Unit'!$F$66:$H$66,$B$6)</f>
        <v/>
      </c>
      <c r="I41" s="53">
        <f>F41*G41*H41</f>
        <v/>
      </c>
      <c r="J41" s="54">
        <f>'2_RateCard_Unit'!$K$66</f>
        <v/>
      </c>
    </row>
    <row r="42">
      <c r="A42" s="25" t="inlineStr">
        <is>
          <t>C09</t>
        </is>
      </c>
      <c r="B42" s="13" t="inlineStr">
        <is>
          <t>Repossession and yard management</t>
        </is>
      </c>
      <c r="C42" s="18" t="inlineStr">
        <is>
          <t>INT-COLAT-07</t>
        </is>
      </c>
      <c r="D42" s="18" t="inlineStr">
        <is>
          <t>per_collection_event</t>
        </is>
      </c>
      <c r="E42" s="50">
        <f>INDEX('5_Journey_Units_Service'!$C$32:$W$32,$B$4)</f>
        <v/>
      </c>
      <c r="F42" s="58">
        <f>INDEX('6_Funnel_And_Lifetime'!$C$132:$W$132,$B$4)</f>
        <v/>
      </c>
      <c r="G42" s="50">
        <f>'2_RateCard_Unit'!$I$67</f>
        <v/>
      </c>
      <c r="H42" s="52">
        <f>INDEX('2_RateCard_Unit'!$F$67:$H$67,$B$6)</f>
        <v/>
      </c>
      <c r="I42" s="53">
        <f>F42*G42*H42</f>
        <v/>
      </c>
      <c r="J42" s="54">
        <f>'2_RateCard_Unit'!$K$67</f>
        <v/>
      </c>
    </row>
    <row r="43">
      <c r="B43" s="30" t="inlineStr">
        <is>
          <t>Lifetime COLLECTIONS cost per funded loan</t>
        </is>
      </c>
      <c r="E43" s="7" t="inlineStr">
        <is>
          <t>Applicability is shown for information; it is already baked into the events column.</t>
        </is>
      </c>
      <c r="I43" s="55">
        <f>SUM(I34:I42)</f>
        <v/>
      </c>
    </row>
    <row r="45">
      <c r="B45" s="30" t="inlineStr">
        <is>
          <t>TOTAL POST-ORIGINATION COST PER FUNDED LOAN</t>
        </is>
      </c>
      <c r="I45" s="55">
        <f>I31+I43</f>
        <v/>
      </c>
    </row>
    <row r="46">
      <c r="B46" s="13" t="inlineStr">
        <is>
          <t xml:space="preserve">  of which platform-borne</t>
        </is>
      </c>
      <c r="I46" s="53">
        <f>SUMIF($J$15:$J$30,"No",I15:I30)+SUMIF($J$34:$J$42,"No",I34:I42)</f>
        <v/>
      </c>
    </row>
    <row r="47">
      <c r="B47" s="13" t="inlineStr">
        <is>
          <t xml:space="preserve">  of which pass-through</t>
        </is>
      </c>
      <c r="I47" s="53">
        <f>SUMIF($J$15:$J$30,"Yes",I15:I30)+SUMIF($J$34:$J$42,"Yes",I34:I42)</f>
        <v/>
      </c>
    </row>
    <row r="48">
      <c r="B48" s="26" t="inlineStr">
        <is>
          <t>Cost per ACTIVE LOAN-MONTH</t>
        </is>
      </c>
      <c r="I48" s="55">
        <f>IFERROR(I45/$B$7,0)</f>
        <v/>
      </c>
    </row>
    <row r="50">
      <c r="B50" s="7" t="inlineStr">
        <is>
          <t>Compare the per-active-loan-month figure against the LMS fee on sheet 1. A servicing fee below this number means every month the loan stays on the book destroys value — and long-tenor journeys stay a long time.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8"/>
  <sheetViews>
    <sheetView showGridLines="0" workbookViewId="0">
      <pane ySplit="4" topLeftCell="A5" activePane="bottomLeft" state="frozen"/>
      <selection pane="bottomLeft" activeCell="A1" sqref="A1"/>
    </sheetView>
  </sheetViews>
  <sheetFormatPr baseColWidth="8" defaultRowHeight="15"/>
  <cols>
    <col width="34" customWidth="1" min="1" max="1"/>
    <col width="10" customWidth="1" min="2" max="2"/>
    <col width="22" customWidth="1" min="3" max="3"/>
    <col width="26" customWidth="1" min="4" max="4"/>
    <col width="22" customWidth="1" min="5" max="5"/>
    <col width="24" customWidth="1" min="6" max="6"/>
    <col width="72" customWidth="1" min="7" max="7"/>
  </cols>
  <sheetData>
    <row r="1">
      <c r="A1" s="1" t="inlineStr">
        <is>
          <t>9 — Cloud infrastructure cost per tenant</t>
        </is>
      </c>
    </row>
    <row r="2">
      <c r="A2" s="2" t="inlineStr">
        <is>
          <t>The 17 REQUIRED_DEPLOYMENT_COMPONENTS from saas-deployment-blueprints.js across the 4 SAAS_DEPLOYMENT_MODELS. ₹ per month, per tenant, volume-independent.</t>
        </is>
      </c>
    </row>
    <row r="4" ht="32" customHeight="1">
      <c r="A4" s="11" t="inlineStr">
        <is>
          <t>Deployment component</t>
        </is>
      </c>
      <c r="B4" s="11" t="inlineStr">
        <is>
          <t>Tier</t>
        </is>
      </c>
      <c r="C4" s="11" t="inlineStr">
        <is>
          <t>shared_multi_tenant</t>
        </is>
      </c>
      <c r="D4" s="11" t="inlineStr">
        <is>
          <t>dedicated_tenant_data_plane</t>
        </is>
      </c>
      <c r="E4" s="11" t="inlineStr">
        <is>
          <t>dedicated_environment</t>
        </is>
      </c>
      <c r="F4" s="11" t="inlineStr">
        <is>
          <t>customer_managed_private</t>
        </is>
      </c>
      <c r="G4" s="11" t="inlineStr">
        <is>
          <t>Note</t>
        </is>
      </c>
    </row>
    <row r="5">
      <c r="A5" s="13" t="inlineStr">
        <is>
          <t>tenant_namespace</t>
        </is>
      </c>
      <c r="B5" s="59" t="inlineStr"/>
      <c r="C5" s="10" t="n">
        <v>0</v>
      </c>
      <c r="D5" s="10" t="n">
        <v>0</v>
      </c>
      <c r="E5" s="10" t="n">
        <v>0</v>
      </c>
      <c r="F5" s="10" t="n">
        <v>0</v>
      </c>
      <c r="G5" s="14" t="inlineStr">
        <is>
          <t>Logical only; no standalone infrastructure charge.</t>
        </is>
      </c>
    </row>
    <row r="6">
      <c r="A6" s="13" t="inlineStr">
        <is>
          <t>app_partition</t>
        </is>
      </c>
      <c r="B6" s="59" t="inlineStr"/>
      <c r="C6" s="10" t="n">
        <v>1200</v>
      </c>
      <c r="D6" s="10" t="n">
        <v>2600</v>
      </c>
      <c r="E6" s="10" t="n">
        <v>22000</v>
      </c>
      <c r="F6" s="10" t="n">
        <v>0</v>
      </c>
      <c r="G6" s="14" t="inlineStr">
        <is>
          <t>Share of the app fleet; dedicated ASG in dedicated_environment.</t>
        </is>
      </c>
    </row>
    <row r="7">
      <c r="A7" s="13" t="inlineStr">
        <is>
          <t>data_partition</t>
        </is>
      </c>
      <c r="B7" s="59" t="inlineStr"/>
      <c r="C7" s="10" t="n">
        <v>400</v>
      </c>
      <c r="D7" s="10" t="n">
        <v>1200</v>
      </c>
      <c r="E7" s="10" t="n">
        <v>3000</v>
      </c>
      <c r="F7" s="10" t="n">
        <v>0</v>
      </c>
      <c r="G7" s="14" t="inlineStr">
        <is>
          <t>Schema/partition overhead and per-tenant object prefixes.</t>
        </is>
      </c>
    </row>
    <row r="8">
      <c r="A8" s="13" t="inlineStr">
        <is>
          <t>database_isolation</t>
        </is>
      </c>
      <c r="B8" s="59" t="inlineStr"/>
      <c r="C8" s="10" t="n">
        <v>2500</v>
      </c>
      <c r="D8" s="10" t="n">
        <v>32000</v>
      </c>
      <c r="E8" s="10" t="n">
        <v>55000</v>
      </c>
      <c r="F8" s="10" t="n">
        <v>0</v>
      </c>
      <c r="G8" s="14" t="inlineStr">
        <is>
          <t>Shared RDS+RLS allocation vs a dedicated Multi-AZ instance.</t>
        </is>
      </c>
    </row>
    <row r="9">
      <c r="A9" s="38" t="inlineStr">
        <is>
          <t>decision_runtime</t>
        </is>
      </c>
      <c r="B9" s="59" t="inlineStr"/>
      <c r="C9" s="60" t="n">
        <v>9000</v>
      </c>
      <c r="D9" s="60" t="n">
        <v>12000</v>
      </c>
      <c r="E9" s="60" t="n">
        <v>18000</v>
      </c>
      <c r="F9" s="60" t="n">
        <v>9000</v>
      </c>
      <c r="G9" s="23" t="inlineStr">
        <is>
          <t>ADR 0003: one ISOLATED Rust runtime per tenant. Never shared -&gt; a true per-tenant floor even at zero volume.</t>
        </is>
      </c>
    </row>
    <row r="10">
      <c r="A10" s="13" t="inlineStr">
        <is>
          <t>keys_secrets</t>
        </is>
      </c>
      <c r="B10" s="59" t="inlineStr"/>
      <c r="C10" s="10" t="n">
        <v>700</v>
      </c>
      <c r="D10" s="10" t="n">
        <v>1100</v>
      </c>
      <c r="E10" s="10" t="n">
        <v>2200</v>
      </c>
      <c r="F10" s="10" t="n">
        <v>700</v>
      </c>
      <c r="G10" s="14" t="inlineStr">
        <is>
          <t>Per-tenant KMS CMKs + secret scopes.</t>
        </is>
      </c>
    </row>
    <row r="11">
      <c r="A11" s="13" t="inlineStr">
        <is>
          <t>network_domain_certificates</t>
        </is>
      </c>
      <c r="B11" s="59" t="inlineStr"/>
      <c r="C11" s="10" t="n">
        <v>600</v>
      </c>
      <c r="D11" s="10" t="n">
        <v>1400</v>
      </c>
      <c r="E11" s="10" t="n">
        <v>6500</v>
      </c>
      <c r="F11" s="10" t="n">
        <v>400</v>
      </c>
      <c r="G11" s="14" t="inlineStr">
        <is>
          <t>Routes, custom domain, TLS certificates, WAF share.</t>
        </is>
      </c>
    </row>
    <row r="12">
      <c r="A12" s="13" t="inlineStr">
        <is>
          <t>storage_worm</t>
        </is>
      </c>
      <c r="B12" s="59" t="inlineStr"/>
      <c r="C12" s="10" t="n">
        <v>0</v>
      </c>
      <c r="D12" s="10" t="n">
        <v>0</v>
      </c>
      <c r="E12" s="10" t="n">
        <v>0</v>
      </c>
      <c r="F12" s="10" t="n">
        <v>0</v>
      </c>
      <c r="G12" s="14" t="inlineStr">
        <is>
          <t>Driven by the retention model below, not a flat fee.</t>
        </is>
      </c>
    </row>
    <row r="13">
      <c r="A13" s="13" t="inlineStr">
        <is>
          <t>queue_workers</t>
        </is>
      </c>
      <c r="B13" s="59" t="inlineStr"/>
      <c r="C13" s="10" t="n">
        <v>900</v>
      </c>
      <c r="D13" s="10" t="n">
        <v>1800</v>
      </c>
      <c r="E13" s="10" t="n">
        <v>7000</v>
      </c>
      <c r="F13" s="10" t="n">
        <v>0</v>
      </c>
      <c r="G13" s="14" t="inlineStr">
        <is>
          <t>Per-tenant queues and worker capacity floor.</t>
        </is>
      </c>
    </row>
    <row r="14">
      <c r="A14" s="13" t="inlineStr">
        <is>
          <t>integrations</t>
        </is>
      </c>
      <c r="B14" s="59" t="inlineStr"/>
      <c r="C14" s="10" t="n">
        <v>500</v>
      </c>
      <c r="D14" s="10" t="n">
        <v>900</v>
      </c>
      <c r="E14" s="10" t="n">
        <v>2500</v>
      </c>
      <c r="F14" s="10" t="n">
        <v>500</v>
      </c>
      <c r="G14" s="14" t="inlineStr">
        <is>
          <t>NAT/egress, allowlists, provider connection floor.</t>
        </is>
      </c>
    </row>
    <row r="15">
      <c r="A15" s="13" t="inlineStr">
        <is>
          <t>monitoring_siem</t>
        </is>
      </c>
      <c r="B15" s="59" t="inlineStr"/>
      <c r="C15" s="10" t="n">
        <v>1800</v>
      </c>
      <c r="D15" s="10" t="n">
        <v>3200</v>
      </c>
      <c r="E15" s="10" t="n">
        <v>9000</v>
      </c>
      <c r="F15" s="10" t="n">
        <v>2500</v>
      </c>
      <c r="G15" s="14" t="inlineStr">
        <is>
          <t>Log ingest and retention. Usually underestimated.</t>
        </is>
      </c>
    </row>
    <row r="16">
      <c r="A16" s="13" t="inlineStr">
        <is>
          <t>backups_pitr_dr</t>
        </is>
      </c>
      <c r="B16" s="59" t="inlineStr"/>
      <c r="C16" s="10" t="n">
        <v>1500</v>
      </c>
      <c r="D16" s="10" t="n">
        <v>4500</v>
      </c>
      <c r="E16" s="10" t="n">
        <v>16000</v>
      </c>
      <c r="F16" s="10" t="n">
        <v>0</v>
      </c>
      <c r="G16" s="14" t="inlineStr">
        <is>
          <t>PITR window, cross-AZ/region copies, restore tests.</t>
        </is>
      </c>
    </row>
    <row r="17">
      <c r="A17" s="13" t="inlineStr">
        <is>
          <t>capacity_slo</t>
        </is>
      </c>
      <c r="B17" s="59" t="inlineStr"/>
      <c r="C17" s="10" t="n">
        <v>400</v>
      </c>
      <c r="D17" s="10" t="n">
        <v>1000</v>
      </c>
      <c r="E17" s="10" t="n">
        <v>5000</v>
      </c>
      <c r="F17" s="10" t="n">
        <v>0</v>
      </c>
      <c r="G17" s="14" t="inlineStr">
        <is>
          <t>Reserved headroom to hold the SLO.</t>
        </is>
      </c>
    </row>
    <row r="18">
      <c r="A18" s="13" t="inlineStr">
        <is>
          <t>release_upgrade</t>
        </is>
      </c>
      <c r="B18" s="59" t="inlineStr"/>
      <c r="C18" s="10" t="n">
        <v>300</v>
      </c>
      <c r="D18" s="10" t="n">
        <v>600</v>
      </c>
      <c r="E18" s="10" t="n">
        <v>2500</v>
      </c>
      <c r="F18" s="10" t="n">
        <v>3500</v>
      </c>
      <c r="G18" s="14" t="inlineStr">
        <is>
          <t>Release ring, canary and rollback capacity; higher when customer-managed.</t>
        </is>
      </c>
    </row>
    <row r="19">
      <c r="A19" s="13" t="inlineStr">
        <is>
          <t>support_operations</t>
        </is>
      </c>
      <c r="B19" s="59" t="inlineStr"/>
      <c r="C19" s="10" t="n">
        <v>0</v>
      </c>
      <c r="D19" s="10" t="n">
        <v>0</v>
      </c>
      <c r="E19" s="10" t="n">
        <v>0</v>
      </c>
      <c r="F19" s="10" t="n">
        <v>0</v>
      </c>
      <c r="G19" s="14" t="inlineStr">
        <is>
          <t>Priced in 8_Service_Cost, not here.</t>
        </is>
      </c>
    </row>
    <row r="20">
      <c r="A20" s="13" t="inlineStr">
        <is>
          <t>data_residency</t>
        </is>
      </c>
      <c r="B20" s="59" t="inlineStr"/>
      <c r="C20" s="10" t="n">
        <v>200</v>
      </c>
      <c r="D20" s="10" t="n">
        <v>400</v>
      </c>
      <c r="E20" s="10" t="n">
        <v>1200</v>
      </c>
      <c r="F20" s="10" t="n">
        <v>200</v>
      </c>
      <c r="G20" s="14" t="inlineStr">
        <is>
          <t>India residency controls and evidence.</t>
        </is>
      </c>
    </row>
    <row r="21">
      <c r="A21" s="13" t="inlineStr">
        <is>
          <t>portability_exit</t>
        </is>
      </c>
      <c r="B21" s="59" t="inlineStr"/>
      <c r="C21" s="10" t="n">
        <v>300</v>
      </c>
      <c r="D21" s="10" t="n">
        <v>600</v>
      </c>
      <c r="E21" s="10" t="n">
        <v>1500</v>
      </c>
      <c r="F21" s="10" t="n">
        <v>600</v>
      </c>
      <c r="G21" s="14" t="inlineStr">
        <is>
          <t>Export tooling and exit rehearsal capacity.</t>
        </is>
      </c>
    </row>
    <row r="22">
      <c r="A22" s="30" t="inlineStr">
        <is>
          <t>Subtotal — fixed ₹ per month</t>
        </is>
      </c>
      <c r="B22" s="61" t="n"/>
      <c r="C22" s="31">
        <f>SUM(C5:C21)</f>
        <v/>
      </c>
      <c r="D22" s="31">
        <f>SUM(D5:D21)</f>
        <v/>
      </c>
      <c r="E22" s="31">
        <f>SUM(E5:E21)</f>
        <v/>
      </c>
      <c r="F22" s="31">
        <f>SUM(F5:F21)</f>
        <v/>
      </c>
    </row>
    <row r="24">
      <c r="A24" s="38" t="inlineStr">
        <is>
          <t>Variable ₹ per 1,000 applications</t>
        </is>
      </c>
      <c r="C24" s="10" t="n">
        <v>1100</v>
      </c>
      <c r="D24" s="10" t="n">
        <v>1400</v>
      </c>
      <c r="E24" s="10" t="n">
        <v>1900</v>
      </c>
      <c r="F24" s="10" t="n">
        <v>150</v>
      </c>
      <c r="G24" s="14" t="inlineStr">
        <is>
          <t>Marginal compute, DB IOPS, egress and log ingest. Excludes retained storage (below).</t>
        </is>
      </c>
    </row>
    <row r="26">
      <c r="A26" s="3" t="inlineStr">
        <is>
          <t>Selected deployment model</t>
        </is>
      </c>
      <c r="B26" s="4" t="n"/>
      <c r="C26" s="4" t="n"/>
      <c r="D26" s="4" t="n"/>
      <c r="E26" s="4" t="n"/>
      <c r="F26" s="4" t="n"/>
      <c r="G26" s="4" t="n"/>
    </row>
    <row r="27">
      <c r="A27" s="26" t="inlineStr">
        <is>
          <t>Selected model</t>
        </is>
      </c>
      <c r="C27" s="46">
        <f>'1_Inputs'!$B$13</f>
        <v/>
      </c>
    </row>
    <row r="28">
      <c r="A28" s="5" t="inlineStr">
        <is>
          <t>Model index</t>
        </is>
      </c>
      <c r="C28" s="15">
        <f>'1_Inputs'!$B$52</f>
        <v/>
      </c>
    </row>
    <row r="29">
      <c r="A29" s="26" t="inlineStr">
        <is>
          <t>Fixed cloud ₹/month (selected)</t>
        </is>
      </c>
      <c r="C29" s="31">
        <f>INDEX($C$22:$F$22,$C$28)</f>
        <v/>
      </c>
    </row>
    <row r="30">
      <c r="A30" s="26" t="inlineStr">
        <is>
          <t>Variable cloud ₹ per 1,000 apps (selected)</t>
        </is>
      </c>
      <c r="C30" s="31">
        <f>INDEX($C$24:$F$24,$C$28)</f>
        <v/>
      </c>
    </row>
    <row r="33">
      <c r="A33" s="3" t="inlineStr">
        <is>
          <t>Retained-evidence storage — this cost COMPOUNDS</t>
        </is>
      </c>
      <c r="B33" s="4" t="n"/>
      <c r="C33" s="4" t="n"/>
      <c r="D33" s="4" t="n"/>
      <c r="E33" s="4" t="n"/>
      <c r="F33" s="4" t="n"/>
      <c r="G33" s="4" t="n"/>
    </row>
    <row r="34">
      <c r="A34" s="7" t="inlineStr">
        <is>
          <t>RBI/PMLA retention means documents, V-CIP recordings, statements and the audit hash chain accumulate. Storage cost rises every year even at flat volume, and servicing adds a monthly statement stream for the whole life of every loan.</t>
        </is>
      </c>
    </row>
    <row r="36">
      <c r="A36" s="5" t="inlineStr">
        <is>
          <t>MB retained per dropped application</t>
        </is>
      </c>
      <c r="C36" s="8" t="n">
        <v>8</v>
      </c>
      <c r="G36" s="7" t="inlineStr">
        <is>
          <t>Docs and bureau reports pulled on files that never funded — still retained.</t>
        </is>
      </c>
    </row>
    <row r="37">
      <c r="A37" s="5" t="inlineStr">
        <is>
          <t>MB retained per funded loan (origination)</t>
        </is>
      </c>
      <c r="C37" s="8" t="n">
        <v>45</v>
      </c>
      <c r="G37" s="7" t="inlineStr">
        <is>
          <t>Dominated by the V-CIP recording and the signed contract packet.</t>
        </is>
      </c>
    </row>
    <row r="38">
      <c r="A38" s="5" t="inlineStr">
        <is>
          <t>MB retained per active loan-year (servicing)</t>
        </is>
      </c>
      <c r="C38" s="8" t="n">
        <v>6</v>
      </c>
      <c r="G38" s="7" t="inlineStr">
        <is>
          <t>Statements, notices, receipts, CIC submissions and collections evidence.</t>
        </is>
      </c>
    </row>
    <row r="39">
      <c r="A39" s="5" t="inlineStr">
        <is>
          <t>Retention years</t>
        </is>
      </c>
      <c r="C39" s="8" t="n">
        <v>8</v>
      </c>
      <c r="G39" s="7" t="inlineStr">
        <is>
          <t>Model the longest applicable obligation, not the shortest.</t>
        </is>
      </c>
    </row>
    <row r="40">
      <c r="A40" s="5" t="inlineStr">
        <is>
          <t>₹ per GB-month (blended hot→archive)</t>
        </is>
      </c>
      <c r="C40" s="19" t="n">
        <v>1.2</v>
      </c>
      <c r="G40" s="7" t="inlineStr">
        <is>
          <t>Blended across S3 Standard, IA and Glacier with Object Lock.</t>
        </is>
      </c>
    </row>
    <row r="41">
      <c r="A41" s="5" t="inlineStr">
        <is>
          <t>Annual applications started</t>
        </is>
      </c>
      <c r="C41" s="15">
        <f>'1_Inputs'!$B$19*12</f>
        <v/>
      </c>
    </row>
    <row r="42">
      <c r="A42" s="5" t="inlineStr">
        <is>
          <t>Annual funded loans</t>
        </is>
      </c>
      <c r="C42" s="15">
        <f>$C$41*'7_Cost_Origination'!$B$9</f>
        <v/>
      </c>
    </row>
    <row r="43">
      <c r="A43" s="5" t="inlineStr">
        <is>
          <t>Active loans (from the book model)</t>
        </is>
      </c>
      <c r="C43" s="15">
        <f>'12_Tenant_PnL'!$B$19</f>
        <v/>
      </c>
    </row>
    <row r="44">
      <c r="A44" s="26" t="inlineStr">
        <is>
          <t>GB added per year</t>
        </is>
      </c>
      <c r="C44" s="62">
        <f>(($C$41-$C$42)*$C$36+$C$42*$C$37+$C$43*$C$38)/1024</f>
        <v/>
      </c>
    </row>
    <row r="46" ht="20" customHeight="1">
      <c r="A46" s="11" t="inlineStr">
        <is>
          <t>Year</t>
        </is>
      </c>
      <c r="B46" s="11" t="inlineStr">
        <is>
          <t>Cumulative GB retained</t>
        </is>
      </c>
      <c r="C46" s="11" t="inlineStr">
        <is>
          <t>Storage ₹ per year</t>
        </is>
      </c>
      <c r="D46" s="11" t="inlineStr">
        <is>
          <t>Storage ₹ per month</t>
        </is>
      </c>
    </row>
    <row r="47">
      <c r="A47" s="28" t="n">
        <v>1</v>
      </c>
      <c r="B47" s="28">
        <f>$C$44*A47</f>
        <v/>
      </c>
      <c r="C47" s="29">
        <f>B47*$C$40*12</f>
        <v/>
      </c>
      <c r="D47" s="29">
        <f>C47/12</f>
        <v/>
      </c>
    </row>
    <row r="48">
      <c r="A48" s="28" t="n">
        <v>2</v>
      </c>
      <c r="B48" s="28">
        <f>$C$44*A48</f>
        <v/>
      </c>
      <c r="C48" s="29">
        <f>B48*$C$40*12</f>
        <v/>
      </c>
      <c r="D48" s="29">
        <f>C48/12</f>
        <v/>
      </c>
    </row>
    <row r="49">
      <c r="A49" s="28" t="n">
        <v>3</v>
      </c>
      <c r="B49" s="28">
        <f>$C$44*A49</f>
        <v/>
      </c>
      <c r="C49" s="29">
        <f>B49*$C$40*12</f>
        <v/>
      </c>
      <c r="D49" s="29">
        <f>C49/12</f>
        <v/>
      </c>
    </row>
    <row r="50">
      <c r="A50" s="28" t="n">
        <v>4</v>
      </c>
      <c r="B50" s="28">
        <f>$C$44*A50</f>
        <v/>
      </c>
      <c r="C50" s="29">
        <f>B50*$C$40*12</f>
        <v/>
      </c>
      <c r="D50" s="29">
        <f>C50/12</f>
        <v/>
      </c>
    </row>
    <row r="51">
      <c r="A51" s="28" t="n">
        <v>5</v>
      </c>
      <c r="B51" s="28">
        <f>$C$44*A51</f>
        <v/>
      </c>
      <c r="C51" s="29">
        <f>B51*$C$40*12</f>
        <v/>
      </c>
      <c r="D51" s="29">
        <f>C51/12</f>
        <v/>
      </c>
    </row>
    <row r="52">
      <c r="A52" s="28" t="n">
        <v>6</v>
      </c>
      <c r="B52" s="28">
        <f>$C$44*A52</f>
        <v/>
      </c>
      <c r="C52" s="29">
        <f>B52*$C$40*12</f>
        <v/>
      </c>
      <c r="D52" s="29">
        <f>C52/12</f>
        <v/>
      </c>
    </row>
    <row r="53">
      <c r="A53" s="28" t="n">
        <v>7</v>
      </c>
      <c r="B53" s="28">
        <f>$C$44*A53</f>
        <v/>
      </c>
      <c r="C53" s="29">
        <f>B53*$C$40*12</f>
        <v/>
      </c>
      <c r="D53" s="29">
        <f>C53/12</f>
        <v/>
      </c>
    </row>
    <row r="54">
      <c r="A54" s="28" t="n">
        <v>8</v>
      </c>
      <c r="B54" s="28">
        <f>$C$44*A54</f>
        <v/>
      </c>
      <c r="C54" s="29">
        <f>B54*$C$40*12</f>
        <v/>
      </c>
      <c r="D54" s="29">
        <f>C54/12</f>
        <v/>
      </c>
    </row>
    <row r="56">
      <c r="A56" s="26" t="inlineStr">
        <is>
          <t>Year 1 storage ₹/year</t>
        </is>
      </c>
      <c r="C56" s="31">
        <f>C47</f>
        <v/>
      </c>
    </row>
    <row r="57">
      <c r="A57" s="26" t="inlineStr">
        <is>
          <t>Year 8 storage ₹/year</t>
        </is>
      </c>
      <c r="C57" s="31">
        <f>C54</f>
        <v/>
      </c>
    </row>
    <row r="58">
      <c r="A58" s="5" t="inlineStr">
        <is>
          <t>Multiple, year 1 → final year</t>
        </is>
      </c>
      <c r="C58" s="63">
        <f>IFERROR(C54/C47,0)</f>
        <v/>
      </c>
      <c r="G58" s="7" t="inlineStr">
        <is>
          <t>Price a multi-year contract against the AVERAGE of these years, not year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52" customWidth="1" min="1" max="1"/>
    <col width="20" customWidth="1" min="2" max="2"/>
    <col width="76" customWidth="1" min="3" max="3"/>
  </cols>
  <sheetData>
    <row r="1">
      <c r="A1" s="1" t="inlineStr">
        <is>
          <t>10 — Governance, compliance and regulatory cost</t>
        </is>
      </c>
    </row>
    <row r="2">
      <c r="A2" s="2" t="inlineStr">
        <is>
          <t>Platform-level fixed cost that exists because we are a compliance-first lending platform. It must be allocated; the basis materially changes which tenants look profitable.</t>
        </is>
      </c>
    </row>
    <row r="4" ht="32" customHeight="1">
      <c r="A4" s="11" t="inlineStr">
        <is>
          <t>Governance / regulatory cost item</t>
        </is>
      </c>
      <c r="B4" s="11" t="inlineStr">
        <is>
          <t>₹ per year (platform)</t>
        </is>
      </c>
      <c r="C4" s="11" t="inlineStr">
        <is>
          <t>Note</t>
        </is>
      </c>
    </row>
    <row r="5">
      <c r="A5" s="13" t="inlineStr">
        <is>
          <t>VAPT and application security testing</t>
        </is>
      </c>
      <c r="B5" s="10" t="n">
        <v>800000</v>
      </c>
      <c r="C5" s="14" t="inlineStr">
        <is>
          <t>Annual + per-major-release retest.</t>
        </is>
      </c>
    </row>
    <row r="6">
      <c r="A6" s="13" t="inlineStr">
        <is>
          <t>ISO 27001 + SOC 2 Type II certification</t>
        </is>
      </c>
      <c r="B6" s="10" t="n">
        <v>1400000</v>
      </c>
      <c r="C6" s="14" t="inlineStr">
        <is>
          <t>Audit fees, tooling and internal effort.</t>
        </is>
      </c>
    </row>
    <row r="7">
      <c r="A7" s="13" t="inlineStr">
        <is>
          <t>RBI IS / system audit support</t>
        </is>
      </c>
      <c r="B7" s="10" t="n">
        <v>600000</v>
      </c>
      <c r="C7" s="14" t="inlineStr">
        <is>
          <t>Evidence packs and auditor response for regulated tenants.</t>
        </is>
      </c>
    </row>
    <row r="8">
      <c r="A8" s="13" t="inlineStr">
        <is>
          <t>DPDP compliance, consent manager and DPO</t>
        </is>
      </c>
      <c r="B8" s="10" t="n">
        <v>1800000</v>
      </c>
      <c r="C8" s="14" t="inlineStr">
        <is>
          <t>Digital Personal Data Protection Act obligations.</t>
        </is>
      </c>
    </row>
    <row r="9">
      <c r="A9" s="13" t="inlineStr">
        <is>
          <t>Compliance officer + regulatory change tracking</t>
        </is>
      </c>
      <c r="B9" s="10" t="n">
        <v>3600000</v>
      </c>
      <c r="C9" s="14" t="inlineStr">
        <is>
          <t>RBI Digital Lending Directions change absorption.</t>
        </is>
      </c>
    </row>
    <row r="10">
      <c r="A10" s="13" t="inlineStr">
        <is>
          <t>Model governance, validation, bias and drift</t>
        </is>
      </c>
      <c r="B10" s="10" t="n">
        <v>2400000</v>
      </c>
      <c r="C10" s="14" t="inlineStr">
        <is>
          <t>DEC-4 provenance + kill-switch operation.</t>
        </is>
      </c>
    </row>
    <row r="11">
      <c r="A11" s="13" t="inlineStr">
        <is>
          <t>Audit hash chain and evidence retention tooling</t>
        </is>
      </c>
      <c r="B11" s="10" t="n">
        <v>600000</v>
      </c>
      <c r="C11" s="14" t="inlineStr">
        <is>
          <t>INV-8/INV-12 replayability infrastructure.</t>
        </is>
      </c>
    </row>
    <row r="12">
      <c r="A12" s="13" t="inlineStr">
        <is>
          <t>Regulatory reporting ops (CIC/CKYC/FIU/CERSAI)</t>
        </is>
      </c>
      <c r="B12" s="10" t="n">
        <v>2000000</v>
      </c>
      <c r="C12" s="14" t="inlineStr">
        <is>
          <t>Submission, acknowledgement and reconciliation runs.</t>
        </is>
      </c>
    </row>
    <row r="13">
      <c r="A13" s="13" t="inlineStr">
        <is>
          <t>Business continuity and DR drills</t>
        </is>
      </c>
      <c r="B13" s="10" t="n">
        <v>500000</v>
      </c>
      <c r="C13" s="14" t="inlineStr">
        <is>
          <t>Documented restore and failover rehearsals.</t>
        </is>
      </c>
    </row>
    <row r="14">
      <c r="A14" s="13" t="inlineStr">
        <is>
          <t>Cyber and professional indemnity insurance</t>
        </is>
      </c>
      <c r="B14" s="10" t="n">
        <v>900000</v>
      </c>
      <c r="C14" s="14" t="inlineStr">
        <is>
          <t>Scales with tenant count and data volume.</t>
        </is>
      </c>
    </row>
    <row r="15">
      <c r="A15" s="30" t="inlineStr">
        <is>
          <t>TOTAL platform governance cost ₹/year</t>
        </is>
      </c>
      <c r="B15" s="31">
        <f>SUM(B5:B14)</f>
        <v/>
      </c>
    </row>
    <row r="17">
      <c r="A17" s="3" t="inlineStr">
        <is>
          <t>Allocation to this tenant</t>
        </is>
      </c>
      <c r="B17" s="4" t="n"/>
      <c r="C17" s="4" t="n"/>
    </row>
    <row r="18">
      <c r="A18" s="5" t="inlineStr">
        <is>
          <t>Live tenants on platform</t>
        </is>
      </c>
      <c r="B18" s="15">
        <f>'1_Inputs'!$B$9</f>
        <v/>
      </c>
      <c r="C18" s="7" t="inlineStr">
        <is>
          <t>More tenants = lower fixed cost each. Early tenants are structurally expensive.</t>
        </is>
      </c>
    </row>
    <row r="19">
      <c r="A19" s="5" t="inlineStr">
        <is>
          <t>Platform annual funded loans (all tenants)</t>
        </is>
      </c>
      <c r="B19" s="15">
        <f>'1_Inputs'!$B$10</f>
        <v/>
      </c>
      <c r="C19" s="7" t="inlineStr">
        <is>
          <t>Denominator for volume-weighted allocation.</t>
        </is>
      </c>
    </row>
    <row r="20">
      <c r="A20" s="5" t="inlineStr">
        <is>
          <t>This tenant annual funded loans</t>
        </is>
      </c>
      <c r="B20" s="15">
        <f>'9_Cloud_Cost'!$C$42</f>
        <v/>
      </c>
      <c r="C20" s="7" t="inlineStr">
        <is>
          <t>From the funnel and volume inputs.</t>
        </is>
      </c>
    </row>
    <row r="21">
      <c r="A21" s="5" t="inlineStr">
        <is>
          <t>Equal-share allocation ₹/yr</t>
        </is>
      </c>
      <c r="B21" s="16">
        <f>IFERROR($B$15/$B$18,0)</f>
        <v/>
      </c>
      <c r="C21" s="7" t="inlineStr">
        <is>
          <t>Compliance effort is largely per-tenant, not per-loan.</t>
        </is>
      </c>
    </row>
    <row r="22">
      <c r="A22" s="5" t="inlineStr">
        <is>
          <t>Volume-weighted allocation ₹/yr</t>
        </is>
      </c>
      <c r="B22" s="16">
        <f>IFERROR($B$15*$B$20/$B$19,0)</f>
        <v/>
      </c>
      <c r="C22" s="7" t="inlineStr">
        <is>
          <t>Reporting and monitoring effort scales with loan count.</t>
        </is>
      </c>
    </row>
    <row r="23">
      <c r="A23" s="5" t="inlineStr">
        <is>
          <t>Allocation basis</t>
        </is>
      </c>
      <c r="B23" s="54">
        <f>'1_Inputs'!$B$15</f>
        <v/>
      </c>
      <c r="C23" s="7" t="inlineStr">
        <is>
          <t>Blended 50/50 is the recommended default — neither pure basis is honest alone.</t>
        </is>
      </c>
    </row>
    <row r="24">
      <c r="A24" s="26" t="inlineStr">
        <is>
          <t>Allocated governance cost ₹/yr</t>
        </is>
      </c>
      <c r="B24" s="31">
        <f>IF($B$23="Equal per tenant",$B$21,IF($B$23="Volume weighted",$B$22,0.5*$B$21+0.5*$B$22))</f>
        <v/>
      </c>
    </row>
    <row r="26">
      <c r="A26" s="3" t="inlineStr">
        <is>
          <t>Direct regulatory operating cost caused by this tenant</t>
        </is>
      </c>
      <c r="B26" s="4" t="n"/>
      <c r="C26" s="4" t="n"/>
    </row>
    <row r="27">
      <c r="A27" s="5" t="inlineStr">
        <is>
          <t>Direct regulatory ops ₹/month</t>
        </is>
      </c>
      <c r="B27" s="10" t="n">
        <v>18000</v>
      </c>
      <c r="C27" s="7" t="inlineStr">
        <is>
          <t>Tenant-specific report runs, submissions, regulator queries and evidence packs. The reporting RAILS themselves are priced as recurring drivers R15-R22 on sheet 3.</t>
        </is>
      </c>
    </row>
    <row r="28">
      <c r="A28" s="5" t="inlineStr">
        <is>
          <t>Direct regulatory ₹ per 1,000 funded loans</t>
        </is>
      </c>
      <c r="B28" s="10" t="n">
        <v>4500</v>
      </c>
      <c r="C28" s="7" t="inlineStr">
        <is>
          <t>Submission, acknowledgement and reconciliation effort that scales with volume.</t>
        </is>
      </c>
    </row>
    <row r="29">
      <c r="A29" s="26" t="inlineStr">
        <is>
          <t>Direct regulatory cost ₹/yr</t>
        </is>
      </c>
      <c r="B29" s="64">
        <f>$B$27*12+$B$28*$B$20/1000</f>
        <v/>
      </c>
    </row>
    <row r="31">
      <c r="A31" s="30" t="inlineStr">
        <is>
          <t>TOTAL governance + regulatory ₹/yr for this tenant</t>
        </is>
      </c>
      <c r="B31" s="31">
        <f>$B$24+$B$29</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22" customWidth="1" min="3" max="3"/>
    <col width="78" customWidth="1" min="4" max="4"/>
  </cols>
  <sheetData>
    <row r="1">
      <c r="A1" s="1" t="inlineStr">
        <is>
          <t>11 — Service, support and onboarding cost</t>
        </is>
      </c>
    </row>
    <row r="2">
      <c r="A2" s="2" t="inlineStr">
        <is>
          <t>Human cost of running the tenant. Onboarding is the most commonly under-recovered line in lending SaaS.</t>
        </is>
      </c>
    </row>
    <row r="4" ht="32" customHeight="1">
      <c r="A4" s="11" t="inlineStr">
        <is>
          <t>#</t>
        </is>
      </c>
      <c r="B4" s="11" t="inlineStr">
        <is>
          <t>Support tier</t>
        </is>
      </c>
      <c r="C4" s="11" t="inlineStr">
        <is>
          <t>₹ per month</t>
        </is>
      </c>
      <c r="D4" s="11" t="inlineStr">
        <is>
          <t>Included scope</t>
        </is>
      </c>
    </row>
    <row r="5">
      <c r="A5" s="18" t="n">
        <v>1</v>
      </c>
      <c r="B5" s="27" t="inlineStr">
        <is>
          <t>Standard</t>
        </is>
      </c>
      <c r="C5" s="10" t="n">
        <v>35000</v>
      </c>
      <c r="D5" s="14" t="inlineStr">
        <is>
          <t>Business-hours L1/L2, shared queue, 8-hour P1 response, quarterly review.</t>
        </is>
      </c>
    </row>
    <row r="6">
      <c r="A6" s="18" t="n">
        <v>2</v>
      </c>
      <c r="B6" s="27" t="inlineStr">
        <is>
          <t>Enhanced</t>
        </is>
      </c>
      <c r="C6" s="10" t="n">
        <v>90000</v>
      </c>
      <c r="D6" s="14" t="inlineStr">
        <is>
          <t>Extended-hours L1/L2/L3, named CSM, 2-hour P1 response, monthly review, 4 policy config changes/quarter.</t>
        </is>
      </c>
    </row>
    <row r="7">
      <c r="A7" s="18" t="n">
        <v>3</v>
      </c>
      <c r="B7" s="27" t="inlineStr">
        <is>
          <t>Dedicated</t>
        </is>
      </c>
      <c r="C7" s="10" t="n">
        <v>240000</v>
      </c>
      <c r="D7" s="14" t="inlineStr">
        <is>
          <t>24x7 dedicated pod, 30-minute P1 response, embedded solution engineer, unlimited policy config changes.</t>
        </is>
      </c>
    </row>
    <row r="9" ht="20" customHeight="1">
      <c r="A9" s="11" t="inlineStr">
        <is>
          <t>#</t>
        </is>
      </c>
      <c r="B9" s="11" t="inlineStr">
        <is>
          <t>Deployment model</t>
        </is>
      </c>
      <c r="C9" s="11" t="inlineStr">
        <is>
          <t>Implementation cost ₹ (one time)</t>
        </is>
      </c>
      <c r="D9" s="11" t="inlineStr">
        <is>
          <t>Note</t>
        </is>
      </c>
    </row>
    <row r="10">
      <c r="A10" s="18" t="n">
        <v>1</v>
      </c>
      <c r="B10" s="13" t="inlineStr">
        <is>
          <t>shared_multi_tenant</t>
        </is>
      </c>
      <c r="C10" s="10" t="n">
        <v>400000</v>
      </c>
      <c r="D10" s="14" t="inlineStr">
        <is>
          <t>Provision into the shared plane; tenant config, policy bundle, entitlements, UAT.</t>
        </is>
      </c>
    </row>
    <row r="11">
      <c r="A11" s="18" t="n">
        <v>2</v>
      </c>
      <c r="B11" s="13" t="inlineStr">
        <is>
          <t>dedicated_tenant_data_plane</t>
        </is>
      </c>
      <c r="C11" s="10" t="n">
        <v>900000</v>
      </c>
      <c r="D11" s="14" t="inlineStr">
        <is>
          <t>Adds dedicated database provisioning, isolation evidence and restore rehearsal.</t>
        </is>
      </c>
    </row>
    <row r="12">
      <c r="A12" s="18" t="n">
        <v>3</v>
      </c>
      <c r="B12" s="13" t="inlineStr">
        <is>
          <t>dedicated_environment</t>
        </is>
      </c>
      <c r="C12" s="10" t="n">
        <v>1800000</v>
      </c>
      <c r="D12" s="14" t="inlineStr">
        <is>
          <t>Full dedicated environment build, network, domains, DR design and acceptance.</t>
        </is>
      </c>
    </row>
    <row r="13">
      <c r="A13" s="18" t="n">
        <v>4</v>
      </c>
      <c r="B13" s="13" t="inlineStr">
        <is>
          <t>customer_managed_private</t>
        </is>
      </c>
      <c r="C13" s="10" t="n">
        <v>2500000</v>
      </c>
      <c r="D13" s="14" t="inlineStr">
        <is>
          <t>Customer-managed install: their infra, our runbooks — heaviest coordination cost.</t>
        </is>
      </c>
    </row>
    <row r="16">
      <c r="A16" s="3" t="inlineStr">
        <is>
          <t>Selected for this deal</t>
        </is>
      </c>
      <c r="B16" s="4" t="n"/>
      <c r="C16" s="4" t="n"/>
      <c r="D16" s="4" t="n"/>
    </row>
    <row r="17">
      <c r="B17" s="26" t="inlineStr">
        <is>
          <t>Selected support tier</t>
        </is>
      </c>
      <c r="C17" s="46">
        <f>'1_Inputs'!$B$14</f>
        <v/>
      </c>
    </row>
    <row r="18">
      <c r="B18" s="26" t="inlineStr">
        <is>
          <t>Support ₹/month</t>
        </is>
      </c>
      <c r="C18" s="31">
        <f>INDEX($C$5:$C$7,'1_Inputs'!$B$53)</f>
        <v/>
      </c>
    </row>
    <row r="19">
      <c r="B19" s="5" t="inlineStr">
        <is>
          <t>Implementation cost ₹</t>
        </is>
      </c>
      <c r="C19" s="29">
        <f>INDEX($C$10:$C$13,'1_Inputs'!$B$52)</f>
        <v/>
      </c>
    </row>
    <row r="20">
      <c r="B20" s="5" t="inlineStr">
        <is>
          <t>Admission / due-diligence cost ₹ (INT-ADM-*)</t>
        </is>
      </c>
      <c r="C20" s="16">
        <f>'3_RateCard_Recurring'!$L$55</f>
        <v/>
      </c>
      <c r="D20" s="7" t="inlineStr">
        <is>
          <t>Entity, authority, representative, domain and contract due diligence at admission.</t>
        </is>
      </c>
    </row>
    <row r="21">
      <c r="B21" s="26" t="inlineStr">
        <is>
          <t>TOTAL onboarding cost ₹ (one time)</t>
        </is>
      </c>
      <c r="C21" s="31">
        <f>$C$19+$C$20</f>
        <v/>
      </c>
    </row>
    <row r="22">
      <c r="B22" s="5" t="inlineStr">
        <is>
          <t>Contract term (months)</t>
        </is>
      </c>
      <c r="C22" s="15">
        <f>'1_Inputs'!$B$8</f>
        <v/>
      </c>
    </row>
    <row r="23">
      <c r="B23" s="26" t="inlineStr">
        <is>
          <t>Onboarding amortised ₹/yr</t>
        </is>
      </c>
      <c r="C23" s="31">
        <f>IFERROR($C$21/$C$22*12,0)</f>
        <v/>
      </c>
    </row>
    <row r="24">
      <c r="B24" s="5" t="inlineStr">
        <is>
          <t>Onboarding recovered by fee?</t>
        </is>
      </c>
      <c r="C24" s="18">
        <f>IF('1_Inputs'!$B$31&gt;=$C$21,"Yes","No — shortfall")</f>
        <v/>
      </c>
      <c r="D24" s="29">
        <f>IFERROR('1_Inputs'!$B$31-$C$21,0)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9"/>
  <sheetViews>
    <sheetView showGridLines="0" workbookViewId="0">
      <pane ySplit="4" topLeftCell="A5" activePane="bottomLeft" state="frozen"/>
      <selection pane="bottomLeft" activeCell="A1" sqref="A1"/>
    </sheetView>
  </sheetViews>
  <sheetFormatPr baseColWidth="8" defaultRowHeight="15"/>
  <cols>
    <col width="54" customWidth="1" min="1" max="1"/>
    <col width="22" customWidth="1" min="2" max="2"/>
    <col width="78" customWidth="1" min="3" max="3"/>
  </cols>
  <sheetData>
    <row r="1">
      <c r="A1" s="1" t="inlineStr">
        <is>
          <t>12 — Tenant P&amp;L (annual)</t>
        </is>
      </c>
    </row>
    <row r="2">
      <c r="A2" s="2" t="inlineStr">
        <is>
          <t>Full bottom-up build across origination, the servicing book, collections, recurring subscriptions and platform cost. Pass-through appears in both cost and revenue — margin is earned on the handling markup only.</t>
        </is>
      </c>
    </row>
    <row r="4">
      <c r="A4" s="3" t="inlineStr">
        <is>
          <t>Origination volume</t>
        </is>
      </c>
      <c r="B4" s="4" t="n"/>
      <c r="C4" s="4" t="n"/>
    </row>
    <row r="5">
      <c r="A5" s="5" t="inlineStr">
        <is>
          <t>Monthly applications started</t>
        </is>
      </c>
      <c r="B5" s="15">
        <f>'1_Inputs'!$B$19</f>
        <v/>
      </c>
    </row>
    <row r="6">
      <c r="A6" s="5" t="inlineStr">
        <is>
          <t>Annual applications started</t>
        </is>
      </c>
      <c r="B6" s="15">
        <f>$B$5*12</f>
        <v/>
      </c>
    </row>
    <row r="7">
      <c r="A7" s="5" t="inlineStr">
        <is>
          <t>Decisioned rate</t>
        </is>
      </c>
      <c r="B7" s="51">
        <f>'7_Cost_Origination'!$B$10</f>
        <v/>
      </c>
    </row>
    <row r="8">
      <c r="A8" s="5" t="inlineStr">
        <is>
          <t>Annual decisioned applications</t>
        </is>
      </c>
      <c r="B8" s="15">
        <f>$B$6*$B$7</f>
        <v/>
      </c>
    </row>
    <row r="9">
      <c r="A9" s="5" t="inlineStr">
        <is>
          <t>Funded rate</t>
        </is>
      </c>
      <c r="B9" s="51">
        <f>'7_Cost_Origination'!$B$9</f>
        <v/>
      </c>
    </row>
    <row r="10">
      <c r="A10" s="5" t="inlineStr">
        <is>
          <t>Annual funded loans</t>
        </is>
      </c>
      <c r="B10" s="15">
        <f>$B$6*$B$9</f>
        <v/>
      </c>
    </row>
    <row r="11">
      <c r="A11" s="5" t="inlineStr">
        <is>
          <t>Average ticket (₹)</t>
        </is>
      </c>
      <c r="B11" s="16">
        <f>'7_Cost_Origination'!$B$7</f>
        <v/>
      </c>
    </row>
    <row r="12">
      <c r="A12" s="5" t="inlineStr">
        <is>
          <t>Annual disbursement (₹)</t>
        </is>
      </c>
      <c r="B12" s="16">
        <f>$B$10*$B$11</f>
        <v/>
      </c>
      <c r="C12" s="7" t="inlineStr">
        <is>
          <t>The denominator the tenant's CFO thinks in.</t>
        </is>
      </c>
    </row>
    <row r="14">
      <c r="A14" s="3" t="inlineStr">
        <is>
          <t>The book — servicing economics depend on STOCK, not flow</t>
        </is>
      </c>
      <c r="B14" s="4" t="n"/>
      <c r="C14" s="4" t="n"/>
    </row>
    <row r="15">
      <c r="A15" s="5" t="inlineStr">
        <is>
          <t>Book maturity</t>
        </is>
      </c>
      <c r="B15" s="54">
        <f>'1_Inputs'!$B$21</f>
        <v/>
      </c>
      <c r="C15" s="7" t="inlineStr">
        <is>
          <t>Year 1 = ramping. Steady state = originations equal closures.</t>
        </is>
      </c>
    </row>
    <row r="16">
      <c r="A16" s="5" t="inlineStr">
        <is>
          <t>Effective life (years)</t>
        </is>
      </c>
      <c r="B16" s="50">
        <f>'8_Cost_Servicing'!$B$8</f>
        <v/>
      </c>
      <c r="C16" s="7" t="inlineStr">
        <is>
          <t>Contractual tenor after prepayment and foreclosure.</t>
        </is>
      </c>
    </row>
    <row r="17">
      <c r="A17" s="5" t="inlineStr">
        <is>
          <t>Steady-state active loans</t>
        </is>
      </c>
      <c r="B17" s="15">
        <f>$B$10*$B$16</f>
        <v/>
      </c>
      <c r="C17" s="7" t="inlineStr">
        <is>
          <t>At equilibrium the book holds one full effective life of originations.</t>
        </is>
      </c>
    </row>
    <row r="18">
      <c r="A18" s="5" t="inlineStr">
        <is>
          <t>Year-1 average active loans</t>
        </is>
      </c>
      <c r="B18" s="15">
        <f>$B$10*MIN($B$16,1)/2</f>
        <v/>
      </c>
      <c r="C18" s="7" t="inlineStr">
        <is>
          <t>Loans accumulate through the year, so the average is roughly half.</t>
        </is>
      </c>
    </row>
    <row r="19">
      <c r="A19" s="26" t="inlineStr">
        <is>
          <t>ACTIVE LOANS (selected)</t>
        </is>
      </c>
      <c r="B19" s="65">
        <f>IF($B$15="Steady state",$B$17,$B$18)</f>
        <v/>
      </c>
    </row>
    <row r="20">
      <c r="A20" s="5" t="inlineStr">
        <is>
          <t>Servicing ramp factor</t>
        </is>
      </c>
      <c r="B20" s="58">
        <f>IF($B$15="Steady state",1,MIN(1,0.5/MAX($B$16,0.0001)))</f>
        <v/>
      </c>
      <c r="C20" s="7" t="inlineStr">
        <is>
          <t>At steady state each year incurs one full lifetime of servicing across the book, because closures equal originations.</t>
        </is>
      </c>
    </row>
    <row r="22">
      <c r="A22" s="3" t="inlineStr">
        <is>
          <t>Cost</t>
        </is>
      </c>
      <c r="B22" s="4" t="n"/>
      <c r="C22" s="4" t="n"/>
    </row>
    <row r="23">
      <c r="A23" s="5" t="inlineStr">
        <is>
          <t>Origination external — platform-borne</t>
        </is>
      </c>
      <c r="B23" s="16">
        <f>'7_Cost_Origination'!$J$53*$B$6</f>
        <v/>
      </c>
      <c r="C23" s="7" t="inlineStr">
        <is>
          <t>Absorbed inside the platform fee. Vendor price rises hit margin directly.</t>
        </is>
      </c>
    </row>
    <row r="24">
      <c r="A24" s="5" t="inlineStr">
        <is>
          <t>Origination external — pass-through</t>
        </is>
      </c>
      <c r="B24" s="16">
        <f>'7_Cost_Origination'!$J$54*$B$6</f>
        <v/>
      </c>
      <c r="C24" s="7" t="inlineStr">
        <is>
          <t>Rebilled at cost + markup. Usually the largest single cost line.</t>
        </is>
      </c>
    </row>
    <row r="25">
      <c r="A25" s="5" t="inlineStr">
        <is>
          <t>Servicing + collections — platform-borne</t>
        </is>
      </c>
      <c r="B25" s="16">
        <f>'8_Cost_Servicing'!$I$46*$B$10*$B$20</f>
        <v/>
      </c>
      <c r="C25" s="7" t="inlineStr">
        <is>
          <t>The loan-lifetime cost tail. Absent from an origination-only model — and often larger than origination.</t>
        </is>
      </c>
    </row>
    <row r="26">
      <c r="A26" s="5" t="inlineStr">
        <is>
          <t>Servicing + collections — pass-through</t>
        </is>
      </c>
      <c r="B26" s="16">
        <f>'8_Cost_Servicing'!$I$47*$B$10*$B$20</f>
        <v/>
      </c>
    </row>
    <row r="27">
      <c r="A27" s="5" t="inlineStr">
        <is>
          <t>Recurring subscriptions — platform-borne</t>
        </is>
      </c>
      <c r="B27" s="16">
        <f>'3_RateCard_Recurring'!$L$44</f>
        <v/>
      </c>
      <c r="C27" s="7" t="inlineStr">
        <is>
          <t>Scales with branches, devices, seats, partners and feeds — NOT with loan volume.</t>
        </is>
      </c>
    </row>
    <row r="28">
      <c r="A28" s="5" t="inlineStr">
        <is>
          <t>Recurring subscriptions — pass-through</t>
        </is>
      </c>
      <c r="B28" s="16">
        <f>'3_RateCard_Recurring'!$L$43</f>
        <v/>
      </c>
    </row>
    <row r="29">
      <c r="A29" s="5" t="inlineStr">
        <is>
          <t>Cloud — fixed</t>
        </is>
      </c>
      <c r="B29" s="16">
        <f>'9_Cloud_Cost'!$C$29*12</f>
        <v/>
      </c>
      <c r="C29" s="7" t="inlineStr">
        <is>
          <t>Volume-independent. Includes the per-tenant isolated decision runtime (ADR 0003).</t>
        </is>
      </c>
    </row>
    <row r="30">
      <c r="A30" s="5" t="inlineStr">
        <is>
          <t>Cloud — variable</t>
        </is>
      </c>
      <c r="B30" s="16">
        <f>'9_Cloud_Cost'!$C$30*$B$6/1000</f>
        <v/>
      </c>
    </row>
    <row r="31">
      <c r="A31" s="5" t="inlineStr">
        <is>
          <t>Cloud — retained storage (year 1)</t>
        </is>
      </c>
      <c r="B31" s="16">
        <f>'9_Cloud_Cost'!$C$56</f>
        <v/>
      </c>
      <c r="C31" s="7" t="inlineStr">
        <is>
          <t>Rises every year of the contract — see sheet 9.</t>
        </is>
      </c>
    </row>
    <row r="32">
      <c r="A32" s="5" t="inlineStr">
        <is>
          <t>Governance + regulatory</t>
        </is>
      </c>
      <c r="B32" s="16">
        <f>'10_Governance_Cost'!$B$31</f>
        <v/>
      </c>
    </row>
    <row r="33">
      <c r="A33" s="5" t="inlineStr">
        <is>
          <t>Support</t>
        </is>
      </c>
      <c r="B33" s="16">
        <f>'11_Service_Cost'!$C$18*12</f>
        <v/>
      </c>
    </row>
    <row r="34">
      <c r="A34" s="5" t="inlineStr">
        <is>
          <t>Onboarding amortised</t>
        </is>
      </c>
      <c r="B34" s="16">
        <f>'11_Service_Cost'!$C$23</f>
        <v/>
      </c>
    </row>
    <row r="35">
      <c r="A35" s="26" t="inlineStr">
        <is>
          <t>TOTAL COST</t>
        </is>
      </c>
      <c r="B35" s="31">
        <f>SUM($B$23:$B$34)</f>
        <v/>
      </c>
    </row>
    <row r="36">
      <c r="A36" s="5" t="inlineStr">
        <is>
          <t>Total PASS-THROUGH cost</t>
        </is>
      </c>
      <c r="B36" s="16">
        <f>$B$24+$B$26+$B$28</f>
        <v/>
      </c>
      <c r="C36" s="7" t="inlineStr">
        <is>
          <t>Rebilled at cost plus the handling markup.</t>
        </is>
      </c>
    </row>
    <row r="37">
      <c r="A37" s="5" t="inlineStr">
        <is>
          <t>Total cost excluding pass-through</t>
        </is>
      </c>
      <c r="B37" s="16">
        <f>$B$35-$B$36</f>
        <v/>
      </c>
      <c r="C37" s="7" t="inlineStr">
        <is>
          <t>The cost base the platform, origination and servicing fees must actually cover.</t>
        </is>
      </c>
    </row>
    <row r="39">
      <c r="A39" s="3" t="inlineStr">
        <is>
          <t>Revenue</t>
        </is>
      </c>
      <c r="B39" s="4" t="n"/>
      <c r="C39" s="4" t="n"/>
    </row>
    <row r="40">
      <c r="A40" s="5" t="inlineStr">
        <is>
          <t>Platform fee</t>
        </is>
      </c>
      <c r="B40" s="16">
        <f>'1_Inputs'!$B$27*12</f>
        <v/>
      </c>
      <c r="C40" s="7" t="inlineStr">
        <is>
          <t>Fixed. Recovers the per-tenant cost floor.</t>
        </is>
      </c>
    </row>
    <row r="41">
      <c r="A41" s="5" t="inlineStr">
        <is>
          <t>Per-decisioned-application fee</t>
        </is>
      </c>
      <c r="B41" s="16">
        <f>'1_Inputs'!$B$28*$B$8</f>
        <v/>
      </c>
      <c r="C41" s="7" t="inlineStr">
        <is>
          <t>Shares funnel risk: you get paid for work done on files that do not fund.</t>
        </is>
      </c>
    </row>
    <row r="42">
      <c r="A42" s="5" t="inlineStr">
        <is>
          <t>Per-funded-loan fee</t>
        </is>
      </c>
      <c r="B42" s="16">
        <f>'1_Inputs'!$B$29*$B$10</f>
        <v/>
      </c>
      <c r="C42" s="7" t="inlineStr">
        <is>
          <t>Origination fee.</t>
        </is>
      </c>
    </row>
    <row r="43">
      <c r="A43" s="5" t="inlineStr">
        <is>
          <t>LMS fee on the active book</t>
        </is>
      </c>
      <c r="B43" s="16">
        <f>'1_Inputs'!$B$30*$B$19*12</f>
        <v/>
      </c>
      <c r="C43" s="7" t="inlineStr">
        <is>
          <t>The annuity. This is what makes a lending SaaS a good business — and what an origination-only model misses.</t>
        </is>
      </c>
    </row>
    <row r="44">
      <c r="A44" s="5" t="inlineStr">
        <is>
          <t>Pass-through recovery</t>
        </is>
      </c>
      <c r="B44" s="16">
        <f>$B$36*(1+'1_Inputs'!$B$26)</f>
        <v/>
      </c>
    </row>
    <row r="45">
      <c r="A45" s="5" t="inlineStr">
        <is>
          <t>Onboarding fee amortised</t>
        </is>
      </c>
      <c r="B45" s="16">
        <f>IFERROR('1_Inputs'!$B$31/'1_Inputs'!$B$8*12,0)</f>
        <v/>
      </c>
    </row>
    <row r="46">
      <c r="A46" s="26" t="inlineStr">
        <is>
          <t>TOTAL REVENUE</t>
        </is>
      </c>
      <c r="B46" s="31">
        <f>SUM($B$40:$B$45)</f>
        <v/>
      </c>
    </row>
    <row r="48">
      <c r="A48" s="3" t="inlineStr">
        <is>
          <t>Margin</t>
        </is>
      </c>
      <c r="B48" s="4" t="n"/>
      <c r="C48" s="4" t="n"/>
    </row>
    <row r="49">
      <c r="A49" s="26" t="inlineStr">
        <is>
          <t>Gross profit</t>
        </is>
      </c>
      <c r="B49" s="31">
        <f>$B$46-$B$35</f>
        <v/>
      </c>
    </row>
    <row r="50">
      <c r="A50" s="26" t="inlineStr">
        <is>
          <t>Gross margin %</t>
        </is>
      </c>
      <c r="B50" s="66">
        <f>IFERROR($B$49/$B$46,0)</f>
        <v/>
      </c>
    </row>
    <row r="51">
      <c r="A51" s="5" t="inlineStr">
        <is>
          <t>Software margin % (pass-through stripped at cost)</t>
        </is>
      </c>
      <c r="B51" s="51">
        <f>IFERROR(($B$46-$B$36-$B$37)/($B$46-$B$36),0)</f>
        <v/>
      </c>
      <c r="C51" s="7" t="inlineStr">
        <is>
          <t>Strips rebilled cost from both sides but keeps the handling markup as earned margin. Manage the deal to this line.</t>
        </is>
      </c>
    </row>
    <row r="52">
      <c r="A52" s="5" t="inlineStr">
        <is>
          <t>Revenue per funded loan (₹)</t>
        </is>
      </c>
      <c r="B52" s="52">
        <f>IFERROR($B$46/$B$10,0)</f>
        <v/>
      </c>
    </row>
    <row r="53">
      <c r="A53" s="5" t="inlineStr">
        <is>
          <t>Cost per funded loan (₹)</t>
        </is>
      </c>
      <c r="B53" s="52">
        <f>IFERROR($B$35/$B$10,0)</f>
        <v/>
      </c>
    </row>
    <row r="54">
      <c r="A54" s="26" t="inlineStr">
        <is>
          <t>Contribution per funded loan (₹)</t>
        </is>
      </c>
      <c r="B54" s="67">
        <f>$B$52-$B$53</f>
        <v/>
      </c>
    </row>
    <row r="55">
      <c r="A55" s="5" t="inlineStr">
        <is>
          <t>Effective cost to tenant (bps of disbursement)</t>
        </is>
      </c>
      <c r="B55" s="50">
        <f>IFERROR($B$46/$B$12*10000,0)</f>
        <v/>
      </c>
      <c r="C55" s="7" t="inlineStr">
        <is>
          <t>Quote this to a CFO. Small-ticket journeys look alarming here — that is real, not a modelling artefact.</t>
        </is>
      </c>
    </row>
    <row r="56">
      <c r="A56" s="5" t="inlineStr">
        <is>
          <t>Revenue per active loan per month (₹)</t>
        </is>
      </c>
      <c r="B56" s="52">
        <f>IFERROR($B$43/MAX($B$19,1)/12,0)</f>
        <v/>
      </c>
    </row>
    <row r="57">
      <c r="A57" s="5" t="inlineStr">
        <is>
          <t>Cost per active loan per month (₹)</t>
        </is>
      </c>
      <c r="B57" s="52">
        <f>'8_Cost_Servicing'!$I$48</f>
        <v/>
      </c>
      <c r="C57" s="7" t="inlineStr">
        <is>
          <t>If this exceeds the line above, every month a loan stays on the book destroys value.</t>
        </is>
      </c>
    </row>
    <row r="59">
      <c r="A59" s="3" t="inlineStr">
        <is>
          <t>Break-even</t>
        </is>
      </c>
      <c r="B59" s="4" t="n"/>
      <c r="C59" s="4" t="n"/>
    </row>
    <row r="60">
      <c r="A60" s="5" t="inlineStr">
        <is>
          <t>Annual fixed cost (₹)</t>
        </is>
      </c>
      <c r="B60" s="16">
        <f>$B$29+$B$31+$B$32+$B$33+$B$34+$B$27+$B$28</f>
        <v/>
      </c>
      <c r="C60" s="7" t="inlineStr">
        <is>
          <t>Incurred whether the tenant originates one loan or one hundred thousand.</t>
        </is>
      </c>
    </row>
    <row r="61">
      <c r="A61" s="5" t="inlineStr">
        <is>
          <t xml:space="preserve">  of which truly volume-independent (₹)</t>
        </is>
      </c>
      <c r="B61" s="16">
        <f>$B$29+$B$33+$B$34+$B$27+$B$28</f>
        <v/>
      </c>
      <c r="C61" s="7" t="inlineStr">
        <is>
          <t>Storage and the volume-weighted part of governance do scale — sheet 15 recomputes both.</t>
        </is>
      </c>
    </row>
    <row r="62">
      <c r="A62" s="5" t="inlineStr">
        <is>
          <t>Variable cost per application (₹)</t>
        </is>
      </c>
      <c r="B62" s="52">
        <f>IFERROR(($B$35-$B$60)/$B$6,0)</f>
        <v/>
      </c>
    </row>
    <row r="63">
      <c r="A63" s="5" t="inlineStr">
        <is>
          <t>Recurring pass-through recovery (volume-independent)</t>
        </is>
      </c>
      <c r="B63" s="16">
        <f>$B$28*(1+'1_Inputs'!$B$26)</f>
        <v/>
      </c>
      <c r="C63" s="7" t="inlineStr">
        <is>
          <t>Recurring cost is fixed, so the revenue that recovers it is fixed too. Keeping this on the variable side would overstate margin at high volume and understate it at low volume.</t>
        </is>
      </c>
    </row>
    <row r="64">
      <c r="A64" s="5" t="inlineStr">
        <is>
          <t>Fixed revenue per year (₹)</t>
        </is>
      </c>
      <c r="B64" s="16">
        <f>$B$40+$B$45+$B$63</f>
        <v/>
      </c>
    </row>
    <row r="65">
      <c r="A65" s="5" t="inlineStr">
        <is>
          <t>Revenue per application (₹)</t>
        </is>
      </c>
      <c r="B65" s="52">
        <f>IFERROR(($B$46-$B$64)/$B$6,0)</f>
        <v/>
      </c>
    </row>
    <row r="66">
      <c r="A66" s="26" t="inlineStr">
        <is>
          <t>Contribution per application (₹)</t>
        </is>
      </c>
      <c r="B66" s="67">
        <f>$B$65-$B$62</f>
        <v/>
      </c>
    </row>
    <row r="67">
      <c r="A67" s="5" t="inlineStr">
        <is>
          <t>Break-even annual applications</t>
        </is>
      </c>
      <c r="B67" s="15">
        <f>IFERROR(MAX(0,($B$60-$B$64)/$B$66),0)</f>
        <v/>
      </c>
    </row>
    <row r="68">
      <c r="A68" s="26" t="inlineStr">
        <is>
          <t>Break-even MONTHLY applications</t>
        </is>
      </c>
      <c r="B68" s="68">
        <f>$B$67/12</f>
        <v/>
      </c>
      <c r="C68" s="7" t="inlineStr">
        <is>
          <t>Below this the deal loses money at the quoted price. Make it a contractual minimum.</t>
        </is>
      </c>
    </row>
    <row r="69">
      <c r="A69" s="26" t="inlineStr">
        <is>
          <t>Headroom vs. plan volume</t>
        </is>
      </c>
      <c r="B69" s="27">
        <f>IF($B$67&lt;=0,"n/a — fixed fees already cover fixed cost",TEXT($B$6/$B$67,"0.00")&amp;"x")</f>
        <v/>
      </c>
      <c r="C69" s="7" t="inlineStr">
        <is>
          <t>Under 1.0x = loss-making. 'n/a' means the platform fee alone carries the fixed base.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56" customWidth="1" min="1" max="1"/>
    <col width="22" customWidth="1" min="2" max="2"/>
    <col width="78" customWidth="1" min="3" max="3"/>
  </cols>
  <sheetData>
    <row r="1">
      <c r="A1" s="1" t="inlineStr">
        <is>
          <t>13 — Price card and margin solve</t>
        </is>
      </c>
    </row>
    <row r="2">
      <c r="A2" s="2" t="inlineStr">
        <is>
          <t>Solves for the per-funded-loan fee that hits the target gross margin, then states the quote.</t>
        </is>
      </c>
    </row>
    <row r="4">
      <c r="A4" s="3" t="inlineStr">
        <is>
          <t>Margin solve</t>
        </is>
      </c>
      <c r="B4" s="4" t="n"/>
      <c r="C4" s="4" t="n"/>
    </row>
    <row r="5">
      <c r="A5" s="5" t="inlineStr">
        <is>
          <t>Target gross margin %</t>
        </is>
      </c>
      <c r="B5" s="51">
        <f>'1_Inputs'!$B$25</f>
        <v/>
      </c>
    </row>
    <row r="6">
      <c r="A6" s="5" t="inlineStr">
        <is>
          <t>Total cost ₹/yr</t>
        </is>
      </c>
      <c r="B6" s="16">
        <f>'12_Tenant_PnL'!$B$35</f>
        <v/>
      </c>
    </row>
    <row r="7">
      <c r="A7" s="5" t="inlineStr">
        <is>
          <t>Required total revenue ₹/yr</t>
        </is>
      </c>
      <c r="B7" s="16">
        <f>IFERROR($B$6/(1-$B$5),0)</f>
        <v/>
      </c>
    </row>
    <row r="8">
      <c r="A8" s="5" t="inlineStr">
        <is>
          <t>Revenue already fixed (platform + onboarding + pass-through + LMS)</t>
        </is>
      </c>
      <c r="B8" s="16">
        <f>'12_Tenant_PnL'!$B$40+'12_Tenant_PnL'!$B$45+'12_Tenant_PnL'!$B$44+'12_Tenant_PnL'!$B$43</f>
        <v/>
      </c>
    </row>
    <row r="9">
      <c r="A9" s="5" t="inlineStr">
        <is>
          <t>Revenue from per-decisioned-application fee</t>
        </is>
      </c>
      <c r="B9" s="16">
        <f>'12_Tenant_PnL'!$B$41</f>
        <v/>
      </c>
    </row>
    <row r="10">
      <c r="A10" s="26" t="inlineStr">
        <is>
          <t>REQUIRED fee per funded loan ₹</t>
        </is>
      </c>
      <c r="B10" s="55">
        <f>IFERROR(MAX(0,($B$7-$B$8-$B$9)/'12_Tenant_PnL'!$B$10),0)</f>
        <v/>
      </c>
      <c r="C10" s="7" t="inlineStr">
        <is>
          <t>The floor the deal desk must not go below without approval.</t>
        </is>
      </c>
    </row>
    <row r="11">
      <c r="A11" s="5" t="inlineStr">
        <is>
          <t>Current fee per funded loan ₹</t>
        </is>
      </c>
      <c r="B11" s="52">
        <f>'1_Inputs'!$B$29</f>
        <v/>
      </c>
    </row>
    <row r="12">
      <c r="A12" s="5" t="inlineStr">
        <is>
          <t>Gap ₹ per funded loan</t>
        </is>
      </c>
      <c r="B12" s="52">
        <f>$B$10-$B$11</f>
        <v/>
      </c>
    </row>
    <row r="13">
      <c r="A13" s="26" t="inlineStr">
        <is>
          <t>Verdict</t>
        </is>
      </c>
      <c r="B13" s="25">
        <f>IF($B$12&lt;=0,"AT OR ABOVE TARGET MARGIN","BELOW TARGET — raise a fee, raise the platform fee, or change journey mix")</f>
        <v/>
      </c>
    </row>
    <row r="15">
      <c r="A15" s="26" t="inlineStr">
        <is>
          <t>Servicing fee sanity check</t>
        </is>
      </c>
      <c r="B15" s="25">
        <f>IF('12_Tenant_PnL'!$B$56&gt;='12_Tenant_PnL'!$B$57,"LMS fee covers servicing cost","LMS FEE BELOW SERVICING COST — the book loses money every month")</f>
        <v/>
      </c>
      <c r="C15" s="7" t="inlineStr">
        <is>
          <t>Independent of origination margin. A deal can look profitable at origination and still bleed on the book.</t>
        </is>
      </c>
    </row>
    <row r="17">
      <c r="A17" s="3" t="inlineStr">
        <is>
          <t>The quote</t>
        </is>
      </c>
      <c r="B17" s="4" t="n"/>
      <c r="C17" s="4" t="n"/>
    </row>
    <row r="18">
      <c r="A18" s="5" t="inlineStr">
        <is>
          <t>Tenant</t>
        </is>
      </c>
      <c r="B18" s="54">
        <f>'1_Inputs'!$B$6</f>
        <v/>
      </c>
    </row>
    <row r="19">
      <c r="A19" s="5" t="inlineStr">
        <is>
          <t>Journey priced</t>
        </is>
      </c>
      <c r="B19" s="54">
        <f>'1_Inputs'!$B$18</f>
        <v/>
      </c>
      <c r="C19" s="7" t="inlineStr">
        <is>
          <t>Quote each journey separately — costs differ by orders of magnitude.</t>
        </is>
      </c>
    </row>
    <row r="20">
      <c r="A20" s="5" t="inlineStr">
        <is>
          <t>Deployment model</t>
        </is>
      </c>
      <c r="B20" s="54">
        <f>'1_Inputs'!$B$13</f>
        <v/>
      </c>
    </row>
    <row r="21">
      <c r="A21" s="5" t="inlineStr">
        <is>
          <t>Support tier</t>
        </is>
      </c>
      <c r="B21" s="54">
        <f>'1_Inputs'!$B$14</f>
        <v/>
      </c>
    </row>
    <row r="22">
      <c r="A22" s="26" t="inlineStr">
        <is>
          <t>Platform fee ₹/month</t>
        </is>
      </c>
      <c r="B22" s="64">
        <f>'1_Inputs'!$B$27</f>
        <v/>
      </c>
    </row>
    <row r="23">
      <c r="A23" s="26" t="inlineStr">
        <is>
          <t>Fee per decisioned application ₹</t>
        </is>
      </c>
      <c r="B23" s="67">
        <f>'1_Inputs'!$B$28</f>
        <v/>
      </c>
    </row>
    <row r="24">
      <c r="A24" s="26" t="inlineStr">
        <is>
          <t>Fee per funded loan ₹</t>
        </is>
      </c>
      <c r="B24" s="67">
        <f>'1_Inputs'!$B$29</f>
        <v/>
      </c>
    </row>
    <row r="25">
      <c r="A25" s="26" t="inlineStr">
        <is>
          <t>LMS fee per active loan per month ₹</t>
        </is>
      </c>
      <c r="B25" s="67">
        <f>'1_Inputs'!$B$30</f>
        <v/>
      </c>
    </row>
    <row r="26">
      <c r="A26" s="26" t="inlineStr">
        <is>
          <t>Pass-through handling markup</t>
        </is>
      </c>
      <c r="B26" s="69">
        <f>'1_Inputs'!$B$26</f>
        <v/>
      </c>
      <c r="C26" s="7" t="inlineStr">
        <is>
          <t>Bureau, KYC, AA, eSign, payout, NACH and reporting rails rebilled at cost + this markup, itemised monthly.</t>
        </is>
      </c>
    </row>
    <row r="27">
      <c r="A27" s="26" t="inlineStr">
        <is>
          <t>One-time onboarding fee ₹</t>
        </is>
      </c>
      <c r="B27" s="64">
        <f>'1_Inputs'!$B$31</f>
        <v/>
      </c>
    </row>
    <row r="28">
      <c r="A28" s="26" t="inlineStr">
        <is>
          <t>Minimum committed monthly applications</t>
        </is>
      </c>
      <c r="B28" s="68">
        <f>CEILING('12_Tenant_PnL'!$B$68,100)</f>
        <v/>
      </c>
      <c r="C28" s="7" t="inlineStr">
        <is>
          <t>Contractual floor. Without it the tenant's funnel risk becomes your loss.</t>
        </is>
      </c>
    </row>
    <row r="29">
      <c r="A29" s="26" t="inlineStr">
        <is>
          <t>Effective cost to tenant (bps of disbursement)</t>
        </is>
      </c>
      <c r="B29" s="70">
        <f>'12_Tenant_PnL'!$B$55</f>
        <v/>
      </c>
    </row>
    <row r="30">
      <c r="A30" s="26" t="inlineStr">
        <is>
          <t>Resulting gross margin %</t>
        </is>
      </c>
      <c r="B30" s="66">
        <f>'12_Tenant_PnL'!$B$50</f>
        <v/>
      </c>
    </row>
    <row r="31">
      <c r="A31" s="26" t="inlineStr">
        <is>
          <t>Resulting software margin %</t>
        </is>
      </c>
      <c r="B31" s="66">
        <f>'12_Tenant_PnL'!$B$51</f>
        <v/>
      </c>
      <c r="C31" s="7" t="inlineStr">
        <is>
          <t>Manage the deal to this line, not the blended margin above.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5" customWidth="1" min="3" max="3"/>
    <col width="19" customWidth="1" min="4" max="4"/>
    <col width="15" customWidth="1" min="5" max="5"/>
    <col width="11" customWidth="1" min="6" max="6"/>
    <col width="13" customWidth="1" min="7" max="7"/>
    <col width="17" customWidth="1" min="8" max="8"/>
    <col width="19" customWidth="1" min="9" max="9"/>
    <col width="19" customWidth="1" min="10" max="10"/>
    <col width="19" customWidth="1" min="11" max="11"/>
    <col width="20" customWidth="1" min="12" max="12"/>
    <col width="20" customWidth="1" min="13" max="13"/>
    <col width="15" customWidth="1" min="14" max="14"/>
    <col width="15" customWidth="1" min="15" max="15"/>
  </cols>
  <sheetData>
    <row r="1">
      <c r="A1" s="1" t="inlineStr">
        <is>
          <t>14 — Full-lifetime economics across all 21 journeys</t>
        </is>
      </c>
    </row>
    <row r="2">
      <c r="A2" s="2" t="inlineStr">
        <is>
          <t>Origination, servicing and collections for every journey at the current rate cards, funnel and lifetime profile. This is the sheet that decides packaging.</t>
        </is>
      </c>
    </row>
    <row r="4" ht="32" customHeight="1">
      <c r="A4" s="11" t="inlineStr">
        <is>
          <t>#</t>
        </is>
      </c>
      <c r="B4" s="11" t="inlineStr">
        <is>
          <t>Journey</t>
        </is>
      </c>
      <c r="C4" s="11" t="inlineStr">
        <is>
          <t>Archetype</t>
        </is>
      </c>
      <c r="D4" s="11" t="inlineStr">
        <is>
          <t>Funnel preset</t>
        </is>
      </c>
      <c r="E4" s="11" t="inlineStr">
        <is>
          <t>Avg ticket ₹</t>
        </is>
      </c>
      <c r="F4" s="11" t="inlineStr">
        <is>
          <t>Funded rate</t>
        </is>
      </c>
      <c r="G4" s="11" t="inlineStr">
        <is>
          <t>Eff. life (yrs)</t>
        </is>
      </c>
      <c r="H4" s="11" t="inlineStr">
        <is>
          <t>Origination ₹/app</t>
        </is>
      </c>
      <c r="I4" s="11" t="inlineStr">
        <is>
          <t>Origination ₹/funded loan</t>
        </is>
      </c>
      <c r="J4" s="11" t="inlineStr">
        <is>
          <t>Servicing ₹/loan (life)</t>
        </is>
      </c>
      <c r="K4" s="11" t="inlineStr">
        <is>
          <t>Collections ₹/loan (life)</t>
        </is>
      </c>
      <c r="L4" s="11" t="inlineStr">
        <is>
          <t>TOTAL lifetime ₹/loan</t>
        </is>
      </c>
      <c r="M4" s="11" t="inlineStr">
        <is>
          <t>₹ per active loan-month</t>
        </is>
      </c>
      <c r="N4" s="11" t="inlineStr">
        <is>
          <t>Total as bps</t>
        </is>
      </c>
      <c r="O4" s="11" t="inlineStr">
        <is>
          <t>Apps per funded loan</t>
        </is>
      </c>
    </row>
    <row r="5">
      <c r="A5" s="18" t="n">
        <v>1</v>
      </c>
      <c r="B5" s="38" t="inlineStr">
        <is>
          <t>personal_loan</t>
        </is>
      </c>
      <c r="C5" s="13" t="inlineStr">
        <is>
          <t>unsecured_term</t>
        </is>
      </c>
      <c r="D5" s="18" t="inlineStr">
        <is>
          <t>Digital_Unsecured</t>
        </is>
      </c>
      <c r="E5" s="16">
        <f>'4_Journey_Units_LOS'!C$6</f>
        <v/>
      </c>
      <c r="F5" s="51">
        <f>INDEX('6_Funnel_And_Lifetime'!$C$11:$G$11,MATCH($D5,'6_Funnel_And_Lifetime'!$C$4:$G$4,0))</f>
        <v/>
      </c>
      <c r="G5" s="50">
        <f>'6_Funnel_And_Lifetime'!$F$63</f>
        <v/>
      </c>
      <c r="H5" s="53">
        <f>SUMPRODUCT('4_Journey_Units_LOS'!C$8:C$45,'2_RateCard_Unit'!$I$5:$I$42,INDEX('6_Funnel_And_Lifetime'!$C$20:$G$57,0,MATCH($D5,'6_Funnel_And_Lifetime'!$C$4:$G$4,0)),INDEX('2_RateCard_Unit'!$F$5:$H$42,0,'1_Inputs'!$B$54))</f>
        <v/>
      </c>
      <c r="I5" s="67">
        <f>IFERROR(H5/F5,0)</f>
        <v/>
      </c>
      <c r="J5" s="53">
        <f>SUMPRODUCT('5_Journey_Units_Service'!C$6:C$21,'6_Funnel_And_Lifetime'!C$104:C$119,'2_RateCard_Unit'!$I$43:$I$58,INDEX('2_RateCard_Unit'!$F$43:$H$58,0,'1_Inputs'!$B$54))</f>
        <v/>
      </c>
      <c r="K5" s="53">
        <f>SUMPRODUCT('6_Funnel_And_Lifetime'!C$124:C$132,'2_RateCard_Unit'!$I$59:$I$67,INDEX('2_RateCard_Unit'!$F$59:$H$67,0,'1_Inputs'!$B$54))</f>
        <v/>
      </c>
      <c r="L5" s="55">
        <f>I5+J5+K5</f>
        <v/>
      </c>
      <c r="M5" s="53">
        <f>IFERROR((J5+K5)/('6_Funnel_And_Lifetime'!$E$63),0)</f>
        <v/>
      </c>
      <c r="N5" s="70">
        <f>IFERROR(L5/E5*10000,0)</f>
        <v/>
      </c>
      <c r="O5" s="41">
        <f>IFERROR(1/F5,0)</f>
        <v/>
      </c>
    </row>
    <row r="6">
      <c r="A6" s="18" t="n">
        <v>2</v>
      </c>
      <c r="B6" s="38" t="inlineStr">
        <is>
          <t>co_lending_programme</t>
        </is>
      </c>
      <c r="C6" s="13" t="inlineStr">
        <is>
          <t>co_lending</t>
        </is>
      </c>
      <c r="D6" s="18" t="inlineStr">
        <is>
          <t>Digital_Unsecured</t>
        </is>
      </c>
      <c r="E6" s="16">
        <f>'4_Journey_Units_LOS'!D$6</f>
        <v/>
      </c>
      <c r="F6" s="51">
        <f>INDEX('6_Funnel_And_Lifetime'!$C$11:$G$11,MATCH($D6,'6_Funnel_And_Lifetime'!$C$4:$G$4,0))</f>
        <v/>
      </c>
      <c r="G6" s="50">
        <f>'6_Funnel_And_Lifetime'!$F$64</f>
        <v/>
      </c>
      <c r="H6" s="53">
        <f>SUMPRODUCT('4_Journey_Units_LOS'!D$8:D$45,'2_RateCard_Unit'!$I$5:$I$42,INDEX('6_Funnel_And_Lifetime'!$C$20:$G$57,0,MATCH($D6,'6_Funnel_And_Lifetime'!$C$4:$G$4,0)),INDEX('2_RateCard_Unit'!$F$5:$H$42,0,'1_Inputs'!$B$54))</f>
        <v/>
      </c>
      <c r="I6" s="67">
        <f>IFERROR(H6/F6,0)</f>
        <v/>
      </c>
      <c r="J6" s="53">
        <f>SUMPRODUCT('5_Journey_Units_Service'!D$6:D$21,'6_Funnel_And_Lifetime'!D$104:D$119,'2_RateCard_Unit'!$I$43:$I$58,INDEX('2_RateCard_Unit'!$F$43:$H$58,0,'1_Inputs'!$B$54))</f>
        <v/>
      </c>
      <c r="K6" s="53">
        <f>SUMPRODUCT('6_Funnel_And_Lifetime'!D$124:D$132,'2_RateCard_Unit'!$I$59:$I$67,INDEX('2_RateCard_Unit'!$F$59:$H$67,0,'1_Inputs'!$B$54))</f>
        <v/>
      </c>
      <c r="L6" s="55">
        <f>I6+J6+K6</f>
        <v/>
      </c>
      <c r="M6" s="53">
        <f>IFERROR((J6+K6)/('6_Funnel_And_Lifetime'!$E$64),0)</f>
        <v/>
      </c>
      <c r="N6" s="70">
        <f>IFERROR(L6/E6*10000,0)</f>
        <v/>
      </c>
      <c r="O6" s="41">
        <f>IFERROR(1/F6,0)</f>
        <v/>
      </c>
    </row>
    <row r="7">
      <c r="A7" s="18" t="n">
        <v>3</v>
      </c>
      <c r="B7" s="38" t="inlineStr">
        <is>
          <t>msme_working_capital</t>
        </is>
      </c>
      <c r="C7" s="13" t="inlineStr">
        <is>
          <t>revolving_working_capital</t>
        </is>
      </c>
      <c r="D7" s="18" t="inlineStr">
        <is>
          <t>MSME_Business</t>
        </is>
      </c>
      <c r="E7" s="16">
        <f>'4_Journey_Units_LOS'!E$6</f>
        <v/>
      </c>
      <c r="F7" s="51">
        <f>INDEX('6_Funnel_And_Lifetime'!$C$11:$G$11,MATCH($D7,'6_Funnel_And_Lifetime'!$C$4:$G$4,0))</f>
        <v/>
      </c>
      <c r="G7" s="50">
        <f>'6_Funnel_And_Lifetime'!$F$65</f>
        <v/>
      </c>
      <c r="H7" s="53">
        <f>SUMPRODUCT('4_Journey_Units_LOS'!E$8:E$45,'2_RateCard_Unit'!$I$5:$I$42,INDEX('6_Funnel_And_Lifetime'!$C$20:$G$57,0,MATCH($D7,'6_Funnel_And_Lifetime'!$C$4:$G$4,0)),INDEX('2_RateCard_Unit'!$F$5:$H$42,0,'1_Inputs'!$B$54))</f>
        <v/>
      </c>
      <c r="I7" s="67">
        <f>IFERROR(H7/F7,0)</f>
        <v/>
      </c>
      <c r="J7" s="53">
        <f>SUMPRODUCT('5_Journey_Units_Service'!E$6:E$21,'6_Funnel_And_Lifetime'!E$104:E$119,'2_RateCard_Unit'!$I$43:$I$58,INDEX('2_RateCard_Unit'!$F$43:$H$58,0,'1_Inputs'!$B$54))</f>
        <v/>
      </c>
      <c r="K7" s="53">
        <f>SUMPRODUCT('6_Funnel_And_Lifetime'!E$124:E$132,'2_RateCard_Unit'!$I$59:$I$67,INDEX('2_RateCard_Unit'!$F$59:$H$67,0,'1_Inputs'!$B$54))</f>
        <v/>
      </c>
      <c r="L7" s="55">
        <f>I7+J7+K7</f>
        <v/>
      </c>
      <c r="M7" s="53">
        <f>IFERROR((J7+K7)/('6_Funnel_And_Lifetime'!$E$65),0)</f>
        <v/>
      </c>
      <c r="N7" s="70">
        <f>IFERROR(L7/E7*10000,0)</f>
        <v/>
      </c>
      <c r="O7" s="41">
        <f>IFERROR(1/F7,0)</f>
        <v/>
      </c>
    </row>
    <row r="8">
      <c r="A8" s="18" t="n">
        <v>4</v>
      </c>
      <c r="B8" s="38" t="inlineStr">
        <is>
          <t>msme_term_loan</t>
        </is>
      </c>
      <c r="C8" s="13" t="inlineStr">
        <is>
          <t>business_term</t>
        </is>
      </c>
      <c r="D8" s="18" t="inlineStr">
        <is>
          <t>MSME_Business</t>
        </is>
      </c>
      <c r="E8" s="16">
        <f>'4_Journey_Units_LOS'!F$6</f>
        <v/>
      </c>
      <c r="F8" s="51">
        <f>INDEX('6_Funnel_And_Lifetime'!$C$11:$G$11,MATCH($D8,'6_Funnel_And_Lifetime'!$C$4:$G$4,0))</f>
        <v/>
      </c>
      <c r="G8" s="50">
        <f>'6_Funnel_And_Lifetime'!$F$66</f>
        <v/>
      </c>
      <c r="H8" s="53">
        <f>SUMPRODUCT('4_Journey_Units_LOS'!F$8:F$45,'2_RateCard_Unit'!$I$5:$I$42,INDEX('6_Funnel_And_Lifetime'!$C$20:$G$57,0,MATCH($D8,'6_Funnel_And_Lifetime'!$C$4:$G$4,0)),INDEX('2_RateCard_Unit'!$F$5:$H$42,0,'1_Inputs'!$B$54))</f>
        <v/>
      </c>
      <c r="I8" s="67">
        <f>IFERROR(H8/F8,0)</f>
        <v/>
      </c>
      <c r="J8" s="53">
        <f>SUMPRODUCT('5_Journey_Units_Service'!F$6:F$21,'6_Funnel_And_Lifetime'!F$104:F$119,'2_RateCard_Unit'!$I$43:$I$58,INDEX('2_RateCard_Unit'!$F$43:$H$58,0,'1_Inputs'!$B$54))</f>
        <v/>
      </c>
      <c r="K8" s="53">
        <f>SUMPRODUCT('6_Funnel_And_Lifetime'!F$124:F$132,'2_RateCard_Unit'!$I$59:$I$67,INDEX('2_RateCard_Unit'!$F$59:$H$67,0,'1_Inputs'!$B$54))</f>
        <v/>
      </c>
      <c r="L8" s="55">
        <f>I8+J8+K8</f>
        <v/>
      </c>
      <c r="M8" s="53">
        <f>IFERROR((J8+K8)/('6_Funnel_And_Lifetime'!$E$66),0)</f>
        <v/>
      </c>
      <c r="N8" s="70">
        <f>IFERROR(L8/E8*10000,0)</f>
        <v/>
      </c>
      <c r="O8" s="41">
        <f>IFERROR(1/F8,0)</f>
        <v/>
      </c>
    </row>
    <row r="9">
      <c r="A9" s="18" t="n">
        <v>5</v>
      </c>
      <c r="B9" s="38" t="inlineStr">
        <is>
          <t>professional_practice_loan</t>
        </is>
      </c>
      <c r="C9" s="13" t="inlineStr">
        <is>
          <t>business_term</t>
        </is>
      </c>
      <c r="D9" s="18" t="inlineStr">
        <is>
          <t>MSME_Business</t>
        </is>
      </c>
      <c r="E9" s="16">
        <f>'4_Journey_Units_LOS'!G$6</f>
        <v/>
      </c>
      <c r="F9" s="51">
        <f>INDEX('6_Funnel_And_Lifetime'!$C$11:$G$11,MATCH($D9,'6_Funnel_And_Lifetime'!$C$4:$G$4,0))</f>
        <v/>
      </c>
      <c r="G9" s="50">
        <f>'6_Funnel_And_Lifetime'!$F$67</f>
        <v/>
      </c>
      <c r="H9" s="53">
        <f>SUMPRODUCT('4_Journey_Units_LOS'!G$8:G$45,'2_RateCard_Unit'!$I$5:$I$42,INDEX('6_Funnel_And_Lifetime'!$C$20:$G$57,0,MATCH($D9,'6_Funnel_And_Lifetime'!$C$4:$G$4,0)),INDEX('2_RateCard_Unit'!$F$5:$H$42,0,'1_Inputs'!$B$54))</f>
        <v/>
      </c>
      <c r="I9" s="67">
        <f>IFERROR(H9/F9,0)</f>
        <v/>
      </c>
      <c r="J9" s="53">
        <f>SUMPRODUCT('5_Journey_Units_Service'!G$6:G$21,'6_Funnel_And_Lifetime'!G$104:G$119,'2_RateCard_Unit'!$I$43:$I$58,INDEX('2_RateCard_Unit'!$F$43:$H$58,0,'1_Inputs'!$B$54))</f>
        <v/>
      </c>
      <c r="K9" s="53">
        <f>SUMPRODUCT('6_Funnel_And_Lifetime'!G$124:G$132,'2_RateCard_Unit'!$I$59:$I$67,INDEX('2_RateCard_Unit'!$F$59:$H$67,0,'1_Inputs'!$B$54))</f>
        <v/>
      </c>
      <c r="L9" s="55">
        <f>I9+J9+K9</f>
        <v/>
      </c>
      <c r="M9" s="53">
        <f>IFERROR((J9+K9)/('6_Funnel_And_Lifetime'!$E$67),0)</f>
        <v/>
      </c>
      <c r="N9" s="70">
        <f>IFERROR(L9/E9*10000,0)</f>
        <v/>
      </c>
      <c r="O9" s="41">
        <f>IFERROR(1/F9,0)</f>
        <v/>
      </c>
    </row>
    <row r="10">
      <c r="A10" s="18" t="n">
        <v>6</v>
      </c>
      <c r="B10" s="38" t="inlineStr">
        <is>
          <t>secured_business_loan</t>
        </is>
      </c>
      <c r="C10" s="13" t="inlineStr">
        <is>
          <t>property_secured</t>
        </is>
      </c>
      <c r="D10" s="18" t="inlineStr">
        <is>
          <t>Secured_HighTouch</t>
        </is>
      </c>
      <c r="E10" s="16">
        <f>'4_Journey_Units_LOS'!H$6</f>
        <v/>
      </c>
      <c r="F10" s="51">
        <f>INDEX('6_Funnel_And_Lifetime'!$C$11:$G$11,MATCH($D10,'6_Funnel_And_Lifetime'!$C$4:$G$4,0))</f>
        <v/>
      </c>
      <c r="G10" s="50">
        <f>'6_Funnel_And_Lifetime'!$F$68</f>
        <v/>
      </c>
      <c r="H10" s="53">
        <f>SUMPRODUCT('4_Journey_Units_LOS'!H$8:H$45,'2_RateCard_Unit'!$I$5:$I$42,INDEX('6_Funnel_And_Lifetime'!$C$20:$G$57,0,MATCH($D10,'6_Funnel_And_Lifetime'!$C$4:$G$4,0)),INDEX('2_RateCard_Unit'!$F$5:$H$42,0,'1_Inputs'!$B$54))</f>
        <v/>
      </c>
      <c r="I10" s="67">
        <f>IFERROR(H10/F10,0)</f>
        <v/>
      </c>
      <c r="J10" s="53">
        <f>SUMPRODUCT('5_Journey_Units_Service'!H$6:H$21,'6_Funnel_And_Lifetime'!H$104:H$119,'2_RateCard_Unit'!$I$43:$I$58,INDEX('2_RateCard_Unit'!$F$43:$H$58,0,'1_Inputs'!$B$54))</f>
        <v/>
      </c>
      <c r="K10" s="53">
        <f>SUMPRODUCT('6_Funnel_And_Lifetime'!H$124:H$132,'2_RateCard_Unit'!$I$59:$I$67,INDEX('2_RateCard_Unit'!$F$59:$H$67,0,'1_Inputs'!$B$54))</f>
        <v/>
      </c>
      <c r="L10" s="55">
        <f>I10+J10+K10</f>
        <v/>
      </c>
      <c r="M10" s="53">
        <f>IFERROR((J10+K10)/('6_Funnel_And_Lifetime'!$E$68),0)</f>
        <v/>
      </c>
      <c r="N10" s="70">
        <f>IFERROR(L10/E10*10000,0)</f>
        <v/>
      </c>
      <c r="O10" s="41">
        <f>IFERROR(1/F10,0)</f>
        <v/>
      </c>
    </row>
    <row r="11">
      <c r="A11" s="18" t="n">
        <v>7</v>
      </c>
      <c r="B11" s="38" t="inlineStr">
        <is>
          <t>loan_against_property</t>
        </is>
      </c>
      <c r="C11" s="13" t="inlineStr">
        <is>
          <t>property_secured</t>
        </is>
      </c>
      <c r="D11" s="18" t="inlineStr">
        <is>
          <t>Secured_HighTouch</t>
        </is>
      </c>
      <c r="E11" s="16">
        <f>'4_Journey_Units_LOS'!I$6</f>
        <v/>
      </c>
      <c r="F11" s="51">
        <f>INDEX('6_Funnel_And_Lifetime'!$C$11:$G$11,MATCH($D11,'6_Funnel_And_Lifetime'!$C$4:$G$4,0))</f>
        <v/>
      </c>
      <c r="G11" s="50">
        <f>'6_Funnel_And_Lifetime'!$F$69</f>
        <v/>
      </c>
      <c r="H11" s="53">
        <f>SUMPRODUCT('4_Journey_Units_LOS'!I$8:I$45,'2_RateCard_Unit'!$I$5:$I$42,INDEX('6_Funnel_And_Lifetime'!$C$20:$G$57,0,MATCH($D11,'6_Funnel_And_Lifetime'!$C$4:$G$4,0)),INDEX('2_RateCard_Unit'!$F$5:$H$42,0,'1_Inputs'!$B$54))</f>
        <v/>
      </c>
      <c r="I11" s="67">
        <f>IFERROR(H11/F11,0)</f>
        <v/>
      </c>
      <c r="J11" s="53">
        <f>SUMPRODUCT('5_Journey_Units_Service'!I$6:I$21,'6_Funnel_And_Lifetime'!I$104:I$119,'2_RateCard_Unit'!$I$43:$I$58,INDEX('2_RateCard_Unit'!$F$43:$H$58,0,'1_Inputs'!$B$54))</f>
        <v/>
      </c>
      <c r="K11" s="53">
        <f>SUMPRODUCT('6_Funnel_And_Lifetime'!I$124:I$132,'2_RateCard_Unit'!$I$59:$I$67,INDEX('2_RateCard_Unit'!$F$59:$H$67,0,'1_Inputs'!$B$54))</f>
        <v/>
      </c>
      <c r="L11" s="55">
        <f>I11+J11+K11</f>
        <v/>
      </c>
      <c r="M11" s="53">
        <f>IFERROR((J11+K11)/('6_Funnel_And_Lifetime'!$E$69),0)</f>
        <v/>
      </c>
      <c r="N11" s="70">
        <f>IFERROR(L11/E11*10000,0)</f>
        <v/>
      </c>
      <c r="O11" s="41">
        <f>IFERROR(1/F11,0)</f>
        <v/>
      </c>
    </row>
    <row r="12">
      <c r="A12" s="18" t="n">
        <v>8</v>
      </c>
      <c r="B12" s="38" t="inlineStr">
        <is>
          <t>home_loan</t>
        </is>
      </c>
      <c r="C12" s="13" t="inlineStr">
        <is>
          <t>property_secured</t>
        </is>
      </c>
      <c r="D12" s="18" t="inlineStr">
        <is>
          <t>Secured_HighTouch</t>
        </is>
      </c>
      <c r="E12" s="16">
        <f>'4_Journey_Units_LOS'!J$6</f>
        <v/>
      </c>
      <c r="F12" s="51">
        <f>INDEX('6_Funnel_And_Lifetime'!$C$11:$G$11,MATCH($D12,'6_Funnel_And_Lifetime'!$C$4:$G$4,0))</f>
        <v/>
      </c>
      <c r="G12" s="50">
        <f>'6_Funnel_And_Lifetime'!$F$70</f>
        <v/>
      </c>
      <c r="H12" s="53">
        <f>SUMPRODUCT('4_Journey_Units_LOS'!J$8:J$45,'2_RateCard_Unit'!$I$5:$I$42,INDEX('6_Funnel_And_Lifetime'!$C$20:$G$57,0,MATCH($D12,'6_Funnel_And_Lifetime'!$C$4:$G$4,0)),INDEX('2_RateCard_Unit'!$F$5:$H$42,0,'1_Inputs'!$B$54))</f>
        <v/>
      </c>
      <c r="I12" s="67">
        <f>IFERROR(H12/F12,0)</f>
        <v/>
      </c>
      <c r="J12" s="53">
        <f>SUMPRODUCT('5_Journey_Units_Service'!J$6:J$21,'6_Funnel_And_Lifetime'!J$104:J$119,'2_RateCard_Unit'!$I$43:$I$58,INDEX('2_RateCard_Unit'!$F$43:$H$58,0,'1_Inputs'!$B$54))</f>
        <v/>
      </c>
      <c r="K12" s="53">
        <f>SUMPRODUCT('6_Funnel_And_Lifetime'!J$124:J$132,'2_RateCard_Unit'!$I$59:$I$67,INDEX('2_RateCard_Unit'!$F$59:$H$67,0,'1_Inputs'!$B$54))</f>
        <v/>
      </c>
      <c r="L12" s="55">
        <f>I12+J12+K12</f>
        <v/>
      </c>
      <c r="M12" s="53">
        <f>IFERROR((J12+K12)/('6_Funnel_And_Lifetime'!$E$70),0)</f>
        <v/>
      </c>
      <c r="N12" s="70">
        <f>IFERROR(L12/E12*10000,0)</f>
        <v/>
      </c>
      <c r="O12" s="41">
        <f>IFERROR(1/F12,0)</f>
        <v/>
      </c>
    </row>
    <row r="13">
      <c r="A13" s="18" t="n">
        <v>9</v>
      </c>
      <c r="B13" s="38" t="inlineStr">
        <is>
          <t>equipment_machinery_finance</t>
        </is>
      </c>
      <c r="C13" s="13" t="inlineStr">
        <is>
          <t>asset_finance</t>
        </is>
      </c>
      <c r="D13" s="18" t="inlineStr">
        <is>
          <t>MSME_Business</t>
        </is>
      </c>
      <c r="E13" s="16">
        <f>'4_Journey_Units_LOS'!K$6</f>
        <v/>
      </c>
      <c r="F13" s="51">
        <f>INDEX('6_Funnel_And_Lifetime'!$C$11:$G$11,MATCH($D13,'6_Funnel_And_Lifetime'!$C$4:$G$4,0))</f>
        <v/>
      </c>
      <c r="G13" s="50">
        <f>'6_Funnel_And_Lifetime'!$F$71</f>
        <v/>
      </c>
      <c r="H13" s="53">
        <f>SUMPRODUCT('4_Journey_Units_LOS'!K$8:K$45,'2_RateCard_Unit'!$I$5:$I$42,INDEX('6_Funnel_And_Lifetime'!$C$20:$G$57,0,MATCH($D13,'6_Funnel_And_Lifetime'!$C$4:$G$4,0)),INDEX('2_RateCard_Unit'!$F$5:$H$42,0,'1_Inputs'!$B$54))</f>
        <v/>
      </c>
      <c r="I13" s="67">
        <f>IFERROR(H13/F13,0)</f>
        <v/>
      </c>
      <c r="J13" s="53">
        <f>SUMPRODUCT('5_Journey_Units_Service'!K$6:K$21,'6_Funnel_And_Lifetime'!K$104:K$119,'2_RateCard_Unit'!$I$43:$I$58,INDEX('2_RateCard_Unit'!$F$43:$H$58,0,'1_Inputs'!$B$54))</f>
        <v/>
      </c>
      <c r="K13" s="53">
        <f>SUMPRODUCT('6_Funnel_And_Lifetime'!K$124:K$132,'2_RateCard_Unit'!$I$59:$I$67,INDEX('2_RateCard_Unit'!$F$59:$H$67,0,'1_Inputs'!$B$54))</f>
        <v/>
      </c>
      <c r="L13" s="55">
        <f>I13+J13+K13</f>
        <v/>
      </c>
      <c r="M13" s="53">
        <f>IFERROR((J13+K13)/('6_Funnel_And_Lifetime'!$E$71),0)</f>
        <v/>
      </c>
      <c r="N13" s="70">
        <f>IFERROR(L13/E13*10000,0)</f>
        <v/>
      </c>
      <c r="O13" s="41">
        <f>IFERROR(1/F13,0)</f>
        <v/>
      </c>
    </row>
    <row r="14">
      <c r="A14" s="18" t="n">
        <v>10</v>
      </c>
      <c r="B14" s="38" t="inlineStr">
        <is>
          <t>green_equipment_finance</t>
        </is>
      </c>
      <c r="C14" s="13" t="inlineStr">
        <is>
          <t>asset_finance</t>
        </is>
      </c>
      <c r="D14" s="18" t="inlineStr">
        <is>
          <t>MSME_Business</t>
        </is>
      </c>
      <c r="E14" s="16">
        <f>'4_Journey_Units_LOS'!L$6</f>
        <v/>
      </c>
      <c r="F14" s="51">
        <f>INDEX('6_Funnel_And_Lifetime'!$C$11:$G$11,MATCH($D14,'6_Funnel_And_Lifetime'!$C$4:$G$4,0))</f>
        <v/>
      </c>
      <c r="G14" s="50">
        <f>'6_Funnel_And_Lifetime'!$F$72</f>
        <v/>
      </c>
      <c r="H14" s="53">
        <f>SUMPRODUCT('4_Journey_Units_LOS'!L$8:L$45,'2_RateCard_Unit'!$I$5:$I$42,INDEX('6_Funnel_And_Lifetime'!$C$20:$G$57,0,MATCH($D14,'6_Funnel_And_Lifetime'!$C$4:$G$4,0)),INDEX('2_RateCard_Unit'!$F$5:$H$42,0,'1_Inputs'!$B$54))</f>
        <v/>
      </c>
      <c r="I14" s="67">
        <f>IFERROR(H14/F14,0)</f>
        <v/>
      </c>
      <c r="J14" s="53">
        <f>SUMPRODUCT('5_Journey_Units_Service'!L$6:L$21,'6_Funnel_And_Lifetime'!L$104:L$119,'2_RateCard_Unit'!$I$43:$I$58,INDEX('2_RateCard_Unit'!$F$43:$H$58,0,'1_Inputs'!$B$54))</f>
        <v/>
      </c>
      <c r="K14" s="53">
        <f>SUMPRODUCT('6_Funnel_And_Lifetime'!L$124:L$132,'2_RateCard_Unit'!$I$59:$I$67,INDEX('2_RateCard_Unit'!$F$59:$H$67,0,'1_Inputs'!$B$54))</f>
        <v/>
      </c>
      <c r="L14" s="55">
        <f>I14+J14+K14</f>
        <v/>
      </c>
      <c r="M14" s="53">
        <f>IFERROR((J14+K14)/('6_Funnel_And_Lifetime'!$E$72),0)</f>
        <v/>
      </c>
      <c r="N14" s="70">
        <f>IFERROR(L14/E14*10000,0)</f>
        <v/>
      </c>
      <c r="O14" s="41">
        <f>IFERROR(1/F14,0)</f>
        <v/>
      </c>
    </row>
    <row r="15">
      <c r="A15" s="18" t="n">
        <v>11</v>
      </c>
      <c r="B15" s="38" t="inlineStr">
        <is>
          <t>personal_vehicle_loan</t>
        </is>
      </c>
      <c r="C15" s="13" t="inlineStr">
        <is>
          <t>asset_finance</t>
        </is>
      </c>
      <c r="D15" s="18" t="inlineStr">
        <is>
          <t>Digital_Unsecured</t>
        </is>
      </c>
      <c r="E15" s="16">
        <f>'4_Journey_Units_LOS'!M$6</f>
        <v/>
      </c>
      <c r="F15" s="51">
        <f>INDEX('6_Funnel_And_Lifetime'!$C$11:$G$11,MATCH($D15,'6_Funnel_And_Lifetime'!$C$4:$G$4,0))</f>
        <v/>
      </c>
      <c r="G15" s="50">
        <f>'6_Funnel_And_Lifetime'!$F$73</f>
        <v/>
      </c>
      <c r="H15" s="53">
        <f>SUMPRODUCT('4_Journey_Units_LOS'!M$8:M$45,'2_RateCard_Unit'!$I$5:$I$42,INDEX('6_Funnel_And_Lifetime'!$C$20:$G$57,0,MATCH($D15,'6_Funnel_And_Lifetime'!$C$4:$G$4,0)),INDEX('2_RateCard_Unit'!$F$5:$H$42,0,'1_Inputs'!$B$54))</f>
        <v/>
      </c>
      <c r="I15" s="67">
        <f>IFERROR(H15/F15,0)</f>
        <v/>
      </c>
      <c r="J15" s="53">
        <f>SUMPRODUCT('5_Journey_Units_Service'!M$6:M$21,'6_Funnel_And_Lifetime'!M$104:M$119,'2_RateCard_Unit'!$I$43:$I$58,INDEX('2_RateCard_Unit'!$F$43:$H$58,0,'1_Inputs'!$B$54))</f>
        <v/>
      </c>
      <c r="K15" s="53">
        <f>SUMPRODUCT('6_Funnel_And_Lifetime'!M$124:M$132,'2_RateCard_Unit'!$I$59:$I$67,INDEX('2_RateCard_Unit'!$F$59:$H$67,0,'1_Inputs'!$B$54))</f>
        <v/>
      </c>
      <c r="L15" s="55">
        <f>I15+J15+K15</f>
        <v/>
      </c>
      <c r="M15" s="53">
        <f>IFERROR((J15+K15)/('6_Funnel_And_Lifetime'!$E$73),0)</f>
        <v/>
      </c>
      <c r="N15" s="70">
        <f>IFERROR(L15/E15*10000,0)</f>
        <v/>
      </c>
      <c r="O15" s="41">
        <f>IFERROR(1/F15,0)</f>
        <v/>
      </c>
    </row>
    <row r="16">
      <c r="A16" s="18" t="n">
        <v>12</v>
      </c>
      <c r="B16" s="38" t="inlineStr">
        <is>
          <t>commercial_vehicle_finance</t>
        </is>
      </c>
      <c r="C16" s="13" t="inlineStr">
        <is>
          <t>asset_finance</t>
        </is>
      </c>
      <c r="D16" s="18" t="inlineStr">
        <is>
          <t>MSME_Business</t>
        </is>
      </c>
      <c r="E16" s="16">
        <f>'4_Journey_Units_LOS'!N$6</f>
        <v/>
      </c>
      <c r="F16" s="51">
        <f>INDEX('6_Funnel_And_Lifetime'!$C$11:$G$11,MATCH($D16,'6_Funnel_And_Lifetime'!$C$4:$G$4,0))</f>
        <v/>
      </c>
      <c r="G16" s="50">
        <f>'6_Funnel_And_Lifetime'!$F$74</f>
        <v/>
      </c>
      <c r="H16" s="53">
        <f>SUMPRODUCT('4_Journey_Units_LOS'!N$8:N$45,'2_RateCard_Unit'!$I$5:$I$42,INDEX('6_Funnel_And_Lifetime'!$C$20:$G$57,0,MATCH($D16,'6_Funnel_And_Lifetime'!$C$4:$G$4,0)),INDEX('2_RateCard_Unit'!$F$5:$H$42,0,'1_Inputs'!$B$54))</f>
        <v/>
      </c>
      <c r="I16" s="67">
        <f>IFERROR(H16/F16,0)</f>
        <v/>
      </c>
      <c r="J16" s="53">
        <f>SUMPRODUCT('5_Journey_Units_Service'!N$6:N$21,'6_Funnel_And_Lifetime'!N$104:N$119,'2_RateCard_Unit'!$I$43:$I$58,INDEX('2_RateCard_Unit'!$F$43:$H$58,0,'1_Inputs'!$B$54))</f>
        <v/>
      </c>
      <c r="K16" s="53">
        <f>SUMPRODUCT('6_Funnel_And_Lifetime'!N$124:N$132,'2_RateCard_Unit'!$I$59:$I$67,INDEX('2_RateCard_Unit'!$F$59:$H$67,0,'1_Inputs'!$B$54))</f>
        <v/>
      </c>
      <c r="L16" s="55">
        <f>I16+J16+K16</f>
        <v/>
      </c>
      <c r="M16" s="53">
        <f>IFERROR((J16+K16)/('6_Funnel_And_Lifetime'!$E$74),0)</f>
        <v/>
      </c>
      <c r="N16" s="70">
        <f>IFERROR(L16/E16*10000,0)</f>
        <v/>
      </c>
      <c r="O16" s="41">
        <f>IFERROR(1/F16,0)</f>
        <v/>
      </c>
    </row>
    <row r="17">
      <c r="A17" s="18" t="n">
        <v>13</v>
      </c>
      <c r="B17" s="38" t="inlineStr">
        <is>
          <t>gold_loan</t>
        </is>
      </c>
      <c r="C17" s="13" t="inlineStr">
        <is>
          <t>gold_custody</t>
        </is>
      </c>
      <c r="D17" s="18" t="inlineStr">
        <is>
          <t>Field_Group</t>
        </is>
      </c>
      <c r="E17" s="16">
        <f>'4_Journey_Units_LOS'!O$6</f>
        <v/>
      </c>
      <c r="F17" s="51">
        <f>INDEX('6_Funnel_And_Lifetime'!$C$11:$G$11,MATCH($D17,'6_Funnel_And_Lifetime'!$C$4:$G$4,0))</f>
        <v/>
      </c>
      <c r="G17" s="50">
        <f>'6_Funnel_And_Lifetime'!$F$75</f>
        <v/>
      </c>
      <c r="H17" s="53">
        <f>SUMPRODUCT('4_Journey_Units_LOS'!O$8:O$45,'2_RateCard_Unit'!$I$5:$I$42,INDEX('6_Funnel_And_Lifetime'!$C$20:$G$57,0,MATCH($D17,'6_Funnel_And_Lifetime'!$C$4:$G$4,0)),INDEX('2_RateCard_Unit'!$F$5:$H$42,0,'1_Inputs'!$B$54))</f>
        <v/>
      </c>
      <c r="I17" s="67">
        <f>IFERROR(H17/F17,0)</f>
        <v/>
      </c>
      <c r="J17" s="53">
        <f>SUMPRODUCT('5_Journey_Units_Service'!O$6:O$21,'6_Funnel_And_Lifetime'!O$104:O$119,'2_RateCard_Unit'!$I$43:$I$58,INDEX('2_RateCard_Unit'!$F$43:$H$58,0,'1_Inputs'!$B$54))</f>
        <v/>
      </c>
      <c r="K17" s="53">
        <f>SUMPRODUCT('6_Funnel_And_Lifetime'!O$124:O$132,'2_RateCard_Unit'!$I$59:$I$67,INDEX('2_RateCard_Unit'!$F$59:$H$67,0,'1_Inputs'!$B$54))</f>
        <v/>
      </c>
      <c r="L17" s="55">
        <f>I17+J17+K17</f>
        <v/>
      </c>
      <c r="M17" s="53">
        <f>IFERROR((J17+K17)/('6_Funnel_And_Lifetime'!$E$75),0)</f>
        <v/>
      </c>
      <c r="N17" s="70">
        <f>IFERROR(L17/E17*10000,0)</f>
        <v/>
      </c>
      <c r="O17" s="41">
        <f>IFERROR(1/F17,0)</f>
        <v/>
      </c>
    </row>
    <row r="18">
      <c r="A18" s="18" t="n">
        <v>14</v>
      </c>
      <c r="B18" s="38" t="inlineStr">
        <is>
          <t>education_loan</t>
        </is>
      </c>
      <c r="C18" s="13" t="inlineStr">
        <is>
          <t>priority_term</t>
        </is>
      </c>
      <c r="D18" s="18" t="inlineStr">
        <is>
          <t>Secured_HighTouch</t>
        </is>
      </c>
      <c r="E18" s="16">
        <f>'4_Journey_Units_LOS'!P$6</f>
        <v/>
      </c>
      <c r="F18" s="51">
        <f>INDEX('6_Funnel_And_Lifetime'!$C$11:$G$11,MATCH($D18,'6_Funnel_And_Lifetime'!$C$4:$G$4,0))</f>
        <v/>
      </c>
      <c r="G18" s="50">
        <f>'6_Funnel_And_Lifetime'!$F$76</f>
        <v/>
      </c>
      <c r="H18" s="53">
        <f>SUMPRODUCT('4_Journey_Units_LOS'!P$8:P$45,'2_RateCard_Unit'!$I$5:$I$42,INDEX('6_Funnel_And_Lifetime'!$C$20:$G$57,0,MATCH($D18,'6_Funnel_And_Lifetime'!$C$4:$G$4,0)),INDEX('2_RateCard_Unit'!$F$5:$H$42,0,'1_Inputs'!$B$54))</f>
        <v/>
      </c>
      <c r="I18" s="67">
        <f>IFERROR(H18/F18,0)</f>
        <v/>
      </c>
      <c r="J18" s="53">
        <f>SUMPRODUCT('5_Journey_Units_Service'!P$6:P$21,'6_Funnel_And_Lifetime'!P$104:P$119,'2_RateCard_Unit'!$I$43:$I$58,INDEX('2_RateCard_Unit'!$F$43:$H$58,0,'1_Inputs'!$B$54))</f>
        <v/>
      </c>
      <c r="K18" s="53">
        <f>SUMPRODUCT('6_Funnel_And_Lifetime'!P$124:P$132,'2_RateCard_Unit'!$I$59:$I$67,INDEX('2_RateCard_Unit'!$F$59:$H$67,0,'1_Inputs'!$B$54))</f>
        <v/>
      </c>
      <c r="L18" s="55">
        <f>I18+J18+K18</f>
        <v/>
      </c>
      <c r="M18" s="53">
        <f>IFERROR((J18+K18)/('6_Funnel_And_Lifetime'!$E$76),0)</f>
        <v/>
      </c>
      <c r="N18" s="70">
        <f>IFERROR(L18/E18*10000,0)</f>
        <v/>
      </c>
      <c r="O18" s="41">
        <f>IFERROR(1/F18,0)</f>
        <v/>
      </c>
    </row>
    <row r="19">
      <c r="A19" s="18" t="n">
        <v>15</v>
      </c>
      <c r="B19" s="38" t="inlineStr">
        <is>
          <t>agriculture_allied_finance</t>
        </is>
      </c>
      <c r="C19" s="13" t="inlineStr">
        <is>
          <t>seasonal_field</t>
        </is>
      </c>
      <c r="D19" s="18" t="inlineStr">
        <is>
          <t>Field_Group</t>
        </is>
      </c>
      <c r="E19" s="16">
        <f>'4_Journey_Units_LOS'!Q$6</f>
        <v/>
      </c>
      <c r="F19" s="51">
        <f>INDEX('6_Funnel_And_Lifetime'!$C$11:$G$11,MATCH($D19,'6_Funnel_And_Lifetime'!$C$4:$G$4,0))</f>
        <v/>
      </c>
      <c r="G19" s="50">
        <f>'6_Funnel_And_Lifetime'!$F$77</f>
        <v/>
      </c>
      <c r="H19" s="53">
        <f>SUMPRODUCT('4_Journey_Units_LOS'!Q$8:Q$45,'2_RateCard_Unit'!$I$5:$I$42,INDEX('6_Funnel_And_Lifetime'!$C$20:$G$57,0,MATCH($D19,'6_Funnel_And_Lifetime'!$C$4:$G$4,0)),INDEX('2_RateCard_Unit'!$F$5:$H$42,0,'1_Inputs'!$B$54))</f>
        <v/>
      </c>
      <c r="I19" s="67">
        <f>IFERROR(H19/F19,0)</f>
        <v/>
      </c>
      <c r="J19" s="53">
        <f>SUMPRODUCT('5_Journey_Units_Service'!Q$6:Q$21,'6_Funnel_And_Lifetime'!Q$104:Q$119,'2_RateCard_Unit'!$I$43:$I$58,INDEX('2_RateCard_Unit'!$F$43:$H$58,0,'1_Inputs'!$B$54))</f>
        <v/>
      </c>
      <c r="K19" s="53">
        <f>SUMPRODUCT('6_Funnel_And_Lifetime'!Q$124:Q$132,'2_RateCard_Unit'!$I$59:$I$67,INDEX('2_RateCard_Unit'!$F$59:$H$67,0,'1_Inputs'!$B$54))</f>
        <v/>
      </c>
      <c r="L19" s="55">
        <f>I19+J19+K19</f>
        <v/>
      </c>
      <c r="M19" s="53">
        <f>IFERROR((J19+K19)/('6_Funnel_And_Lifetime'!$E$77),0)</f>
        <v/>
      </c>
      <c r="N19" s="70">
        <f>IFERROR(L19/E19*10000,0)</f>
        <v/>
      </c>
      <c r="O19" s="41">
        <f>IFERROR(1/F19,0)</f>
        <v/>
      </c>
    </row>
    <row r="20">
      <c r="A20" s="18" t="n">
        <v>16</v>
      </c>
      <c r="B20" s="38" t="inlineStr">
        <is>
          <t>microfinance_group_lending</t>
        </is>
      </c>
      <c r="C20" s="13" t="inlineStr">
        <is>
          <t>group_field</t>
        </is>
      </c>
      <c r="D20" s="18" t="inlineStr">
        <is>
          <t>Field_Group</t>
        </is>
      </c>
      <c r="E20" s="16">
        <f>'4_Journey_Units_LOS'!R$6</f>
        <v/>
      </c>
      <c r="F20" s="51">
        <f>INDEX('6_Funnel_And_Lifetime'!$C$11:$G$11,MATCH($D20,'6_Funnel_And_Lifetime'!$C$4:$G$4,0))</f>
        <v/>
      </c>
      <c r="G20" s="50">
        <f>'6_Funnel_And_Lifetime'!$F$78</f>
        <v/>
      </c>
      <c r="H20" s="53">
        <f>SUMPRODUCT('4_Journey_Units_LOS'!R$8:R$45,'2_RateCard_Unit'!$I$5:$I$42,INDEX('6_Funnel_And_Lifetime'!$C$20:$G$57,0,MATCH($D20,'6_Funnel_And_Lifetime'!$C$4:$G$4,0)),INDEX('2_RateCard_Unit'!$F$5:$H$42,0,'1_Inputs'!$B$54))</f>
        <v/>
      </c>
      <c r="I20" s="67">
        <f>IFERROR(H20/F20,0)</f>
        <v/>
      </c>
      <c r="J20" s="53">
        <f>SUMPRODUCT('5_Journey_Units_Service'!R$6:R$21,'6_Funnel_And_Lifetime'!R$104:R$119,'2_RateCard_Unit'!$I$43:$I$58,INDEX('2_RateCard_Unit'!$F$43:$H$58,0,'1_Inputs'!$B$54))</f>
        <v/>
      </c>
      <c r="K20" s="53">
        <f>SUMPRODUCT('6_Funnel_And_Lifetime'!R$124:R$132,'2_RateCard_Unit'!$I$59:$I$67,INDEX('2_RateCard_Unit'!$F$59:$H$67,0,'1_Inputs'!$B$54))</f>
        <v/>
      </c>
      <c r="L20" s="55">
        <f>I20+J20+K20</f>
        <v/>
      </c>
      <c r="M20" s="53">
        <f>IFERROR((J20+K20)/('6_Funnel_And_Lifetime'!$E$78),0)</f>
        <v/>
      </c>
      <c r="N20" s="70">
        <f>IFERROR(L20/E20*10000,0)</f>
        <v/>
      </c>
      <c r="O20" s="41">
        <f>IFERROR(1/F20,0)</f>
        <v/>
      </c>
    </row>
    <row r="21">
      <c r="A21" s="18" t="n">
        <v>17</v>
      </c>
      <c r="B21" s="38" t="inlineStr">
        <is>
          <t>consumer_durable_finance</t>
        </is>
      </c>
      <c r="C21" s="13" t="inlineStr">
        <is>
          <t>merchant_pos</t>
        </is>
      </c>
      <c r="D21" s="18" t="inlineStr">
        <is>
          <t>POS_Instant</t>
        </is>
      </c>
      <c r="E21" s="16">
        <f>'4_Journey_Units_LOS'!S$6</f>
        <v/>
      </c>
      <c r="F21" s="51">
        <f>INDEX('6_Funnel_And_Lifetime'!$C$11:$G$11,MATCH($D21,'6_Funnel_And_Lifetime'!$C$4:$G$4,0))</f>
        <v/>
      </c>
      <c r="G21" s="50">
        <f>'6_Funnel_And_Lifetime'!$F$79</f>
        <v/>
      </c>
      <c r="H21" s="53">
        <f>SUMPRODUCT('4_Journey_Units_LOS'!S$8:S$45,'2_RateCard_Unit'!$I$5:$I$42,INDEX('6_Funnel_And_Lifetime'!$C$20:$G$57,0,MATCH($D21,'6_Funnel_And_Lifetime'!$C$4:$G$4,0)),INDEX('2_RateCard_Unit'!$F$5:$H$42,0,'1_Inputs'!$B$54))</f>
        <v/>
      </c>
      <c r="I21" s="67">
        <f>IFERROR(H21/F21,0)</f>
        <v/>
      </c>
      <c r="J21" s="53">
        <f>SUMPRODUCT('5_Journey_Units_Service'!S$6:S$21,'6_Funnel_And_Lifetime'!S$104:S$119,'2_RateCard_Unit'!$I$43:$I$58,INDEX('2_RateCard_Unit'!$F$43:$H$58,0,'1_Inputs'!$B$54))</f>
        <v/>
      </c>
      <c r="K21" s="53">
        <f>SUMPRODUCT('6_Funnel_And_Lifetime'!S$124:S$132,'2_RateCard_Unit'!$I$59:$I$67,INDEX('2_RateCard_Unit'!$F$59:$H$67,0,'1_Inputs'!$B$54))</f>
        <v/>
      </c>
      <c r="L21" s="55">
        <f>I21+J21+K21</f>
        <v/>
      </c>
      <c r="M21" s="53">
        <f>IFERROR((J21+K21)/('6_Funnel_And_Lifetime'!$E$79),0)</f>
        <v/>
      </c>
      <c r="N21" s="70">
        <f>IFERROR(L21/E21*10000,0)</f>
        <v/>
      </c>
      <c r="O21" s="41">
        <f>IFERROR(1/F21,0)</f>
        <v/>
      </c>
    </row>
    <row r="22">
      <c r="A22" s="18" t="n">
        <v>18</v>
      </c>
      <c r="B22" s="38" t="inlineStr">
        <is>
          <t>invoice_discounting</t>
        </is>
      </c>
      <c r="C22" s="13" t="inlineStr">
        <is>
          <t>trade_receivables</t>
        </is>
      </c>
      <c r="D22" s="18" t="inlineStr">
        <is>
          <t>MSME_Business</t>
        </is>
      </c>
      <c r="E22" s="16">
        <f>'4_Journey_Units_LOS'!T$6</f>
        <v/>
      </c>
      <c r="F22" s="51">
        <f>INDEX('6_Funnel_And_Lifetime'!$C$11:$G$11,MATCH($D22,'6_Funnel_And_Lifetime'!$C$4:$G$4,0))</f>
        <v/>
      </c>
      <c r="G22" s="50">
        <f>'6_Funnel_And_Lifetime'!$F$80</f>
        <v/>
      </c>
      <c r="H22" s="53">
        <f>SUMPRODUCT('4_Journey_Units_LOS'!T$8:T$45,'2_RateCard_Unit'!$I$5:$I$42,INDEX('6_Funnel_And_Lifetime'!$C$20:$G$57,0,MATCH($D22,'6_Funnel_And_Lifetime'!$C$4:$G$4,0)),INDEX('2_RateCard_Unit'!$F$5:$H$42,0,'1_Inputs'!$B$54))</f>
        <v/>
      </c>
      <c r="I22" s="67">
        <f>IFERROR(H22/F22,0)</f>
        <v/>
      </c>
      <c r="J22" s="53">
        <f>SUMPRODUCT('5_Journey_Units_Service'!T$6:T$21,'6_Funnel_And_Lifetime'!T$104:T$119,'2_RateCard_Unit'!$I$43:$I$58,INDEX('2_RateCard_Unit'!$F$43:$H$58,0,'1_Inputs'!$B$54))</f>
        <v/>
      </c>
      <c r="K22" s="53">
        <f>SUMPRODUCT('6_Funnel_And_Lifetime'!T$124:T$132,'2_RateCard_Unit'!$I$59:$I$67,INDEX('2_RateCard_Unit'!$F$59:$H$67,0,'1_Inputs'!$B$54))</f>
        <v/>
      </c>
      <c r="L22" s="55">
        <f>I22+J22+K22</f>
        <v/>
      </c>
      <c r="M22" s="53">
        <f>IFERROR((J22+K22)/('6_Funnel_And_Lifetime'!$E$80),0)</f>
        <v/>
      </c>
      <c r="N22" s="70">
        <f>IFERROR(L22/E22*10000,0)</f>
        <v/>
      </c>
      <c r="O22" s="41">
        <f>IFERROR(1/F22,0)</f>
        <v/>
      </c>
    </row>
    <row r="23">
      <c r="A23" s="18" t="n">
        <v>19</v>
      </c>
      <c r="B23" s="38" t="inlineStr">
        <is>
          <t>purchase_order_finance</t>
        </is>
      </c>
      <c r="C23" s="13" t="inlineStr">
        <is>
          <t>trade_receivables</t>
        </is>
      </c>
      <c r="D23" s="18" t="inlineStr">
        <is>
          <t>MSME_Business</t>
        </is>
      </c>
      <c r="E23" s="16">
        <f>'4_Journey_Units_LOS'!U$6</f>
        <v/>
      </c>
      <c r="F23" s="51">
        <f>INDEX('6_Funnel_And_Lifetime'!$C$11:$G$11,MATCH($D23,'6_Funnel_And_Lifetime'!$C$4:$G$4,0))</f>
        <v/>
      </c>
      <c r="G23" s="50">
        <f>'6_Funnel_And_Lifetime'!$F$81</f>
        <v/>
      </c>
      <c r="H23" s="53">
        <f>SUMPRODUCT('4_Journey_Units_LOS'!U$8:U$45,'2_RateCard_Unit'!$I$5:$I$42,INDEX('6_Funnel_And_Lifetime'!$C$20:$G$57,0,MATCH($D23,'6_Funnel_And_Lifetime'!$C$4:$G$4,0)),INDEX('2_RateCard_Unit'!$F$5:$H$42,0,'1_Inputs'!$B$54))</f>
        <v/>
      </c>
      <c r="I23" s="67">
        <f>IFERROR(H23/F23,0)</f>
        <v/>
      </c>
      <c r="J23" s="53">
        <f>SUMPRODUCT('5_Journey_Units_Service'!U$6:U$21,'6_Funnel_And_Lifetime'!U$104:U$119,'2_RateCard_Unit'!$I$43:$I$58,INDEX('2_RateCard_Unit'!$F$43:$H$58,0,'1_Inputs'!$B$54))</f>
        <v/>
      </c>
      <c r="K23" s="53">
        <f>SUMPRODUCT('6_Funnel_And_Lifetime'!U$124:U$132,'2_RateCard_Unit'!$I$59:$I$67,INDEX('2_RateCard_Unit'!$F$59:$H$67,0,'1_Inputs'!$B$54))</f>
        <v/>
      </c>
      <c r="L23" s="55">
        <f>I23+J23+K23</f>
        <v/>
      </c>
      <c r="M23" s="53">
        <f>IFERROR((J23+K23)/('6_Funnel_And_Lifetime'!$E$81),0)</f>
        <v/>
      </c>
      <c r="N23" s="70">
        <f>IFERROR(L23/E23*10000,0)</f>
        <v/>
      </c>
      <c r="O23" s="41">
        <f>IFERROR(1/F23,0)</f>
        <v/>
      </c>
    </row>
    <row r="24">
      <c r="A24" s="18" t="n">
        <v>20</v>
      </c>
      <c r="B24" s="38" t="inlineStr">
        <is>
          <t>supply_chain_finance</t>
        </is>
      </c>
      <c r="C24" s="13" t="inlineStr">
        <is>
          <t>trade_receivables</t>
        </is>
      </c>
      <c r="D24" s="18" t="inlineStr">
        <is>
          <t>MSME_Business</t>
        </is>
      </c>
      <c r="E24" s="16">
        <f>'4_Journey_Units_LOS'!V$6</f>
        <v/>
      </c>
      <c r="F24" s="51">
        <f>INDEX('6_Funnel_And_Lifetime'!$C$11:$G$11,MATCH($D24,'6_Funnel_And_Lifetime'!$C$4:$G$4,0))</f>
        <v/>
      </c>
      <c r="G24" s="50">
        <f>'6_Funnel_And_Lifetime'!$F$82</f>
        <v/>
      </c>
      <c r="H24" s="53">
        <f>SUMPRODUCT('4_Journey_Units_LOS'!V$8:V$45,'2_RateCard_Unit'!$I$5:$I$42,INDEX('6_Funnel_And_Lifetime'!$C$20:$G$57,0,MATCH($D24,'6_Funnel_And_Lifetime'!$C$4:$G$4,0)),INDEX('2_RateCard_Unit'!$F$5:$H$42,0,'1_Inputs'!$B$54))</f>
        <v/>
      </c>
      <c r="I24" s="67">
        <f>IFERROR(H24/F24,0)</f>
        <v/>
      </c>
      <c r="J24" s="53">
        <f>SUMPRODUCT('5_Journey_Units_Service'!V$6:V$21,'6_Funnel_And_Lifetime'!V$104:V$119,'2_RateCard_Unit'!$I$43:$I$58,INDEX('2_RateCard_Unit'!$F$43:$H$58,0,'1_Inputs'!$B$54))</f>
        <v/>
      </c>
      <c r="K24" s="53">
        <f>SUMPRODUCT('6_Funnel_And_Lifetime'!V$124:V$132,'2_RateCard_Unit'!$I$59:$I$67,INDEX('2_RateCard_Unit'!$F$59:$H$67,0,'1_Inputs'!$B$54))</f>
        <v/>
      </c>
      <c r="L24" s="55">
        <f>I24+J24+K24</f>
        <v/>
      </c>
      <c r="M24" s="53">
        <f>IFERROR((J24+K24)/('6_Funnel_And_Lifetime'!$E$82),0)</f>
        <v/>
      </c>
      <c r="N24" s="70">
        <f>IFERROR(L24/E24*10000,0)</f>
        <v/>
      </c>
      <c r="O24" s="41">
        <f>IFERROR(1/F24,0)</f>
        <v/>
      </c>
    </row>
    <row r="25">
      <c r="A25" s="18" t="n">
        <v>21</v>
      </c>
      <c r="B25" s="38" t="inlineStr">
        <is>
          <t>trade_finance_workflow</t>
        </is>
      </c>
      <c r="C25" s="13" t="inlineStr">
        <is>
          <t>trade_receivables</t>
        </is>
      </c>
      <c r="D25" s="18" t="inlineStr">
        <is>
          <t>MSME_Business</t>
        </is>
      </c>
      <c r="E25" s="16">
        <f>'4_Journey_Units_LOS'!W$6</f>
        <v/>
      </c>
      <c r="F25" s="51">
        <f>INDEX('6_Funnel_And_Lifetime'!$C$11:$G$11,MATCH($D25,'6_Funnel_And_Lifetime'!$C$4:$G$4,0))</f>
        <v/>
      </c>
      <c r="G25" s="50">
        <f>'6_Funnel_And_Lifetime'!$F$83</f>
        <v/>
      </c>
      <c r="H25" s="53">
        <f>SUMPRODUCT('4_Journey_Units_LOS'!W$8:W$45,'2_RateCard_Unit'!$I$5:$I$42,INDEX('6_Funnel_And_Lifetime'!$C$20:$G$57,0,MATCH($D25,'6_Funnel_And_Lifetime'!$C$4:$G$4,0)),INDEX('2_RateCard_Unit'!$F$5:$H$42,0,'1_Inputs'!$B$54))</f>
        <v/>
      </c>
      <c r="I25" s="67">
        <f>IFERROR(H25/F25,0)</f>
        <v/>
      </c>
      <c r="J25" s="53">
        <f>SUMPRODUCT('5_Journey_Units_Service'!W$6:W$21,'6_Funnel_And_Lifetime'!W$104:W$119,'2_RateCard_Unit'!$I$43:$I$58,INDEX('2_RateCard_Unit'!$F$43:$H$58,0,'1_Inputs'!$B$54))</f>
        <v/>
      </c>
      <c r="K25" s="53">
        <f>SUMPRODUCT('6_Funnel_And_Lifetime'!W$124:W$132,'2_RateCard_Unit'!$I$59:$I$67,INDEX('2_RateCard_Unit'!$F$59:$H$67,0,'1_Inputs'!$B$54))</f>
        <v/>
      </c>
      <c r="L25" s="55">
        <f>I25+J25+K25</f>
        <v/>
      </c>
      <c r="M25" s="53">
        <f>IFERROR((J25+K25)/('6_Funnel_And_Lifetime'!$E$83),0)</f>
        <v/>
      </c>
      <c r="N25" s="70">
        <f>IFERROR(L25/E25*10000,0)</f>
        <v/>
      </c>
      <c r="O25" s="41">
        <f>IFERROR(1/F25,0)</f>
        <v/>
      </c>
    </row>
    <row r="27">
      <c r="B27" s="26" t="inlineStr">
        <is>
          <t>Cheapest lifetime cost per funded loan</t>
        </is>
      </c>
      <c r="C27" s="13">
        <f>INDEX($B$5:$B$25,MATCH(MIN(L5:L25),L5:L25,0))</f>
        <v/>
      </c>
      <c r="L27" s="67">
        <f>MIN(L5:L25)</f>
        <v/>
      </c>
    </row>
    <row r="28">
      <c r="B28" s="26" t="inlineStr">
        <is>
          <t>Most expensive lifetime cost per funded loan</t>
        </is>
      </c>
      <c r="C28" s="13">
        <f>INDEX($B$5:$B$25,MATCH(MAX(L5:L25),L5:L25,0))</f>
        <v/>
      </c>
      <c r="L28" s="67">
        <f>MAX(L5:L25)</f>
        <v/>
      </c>
    </row>
    <row r="29">
      <c r="B29" s="26" t="inlineStr">
        <is>
          <t>Spread (max / min)</t>
        </is>
      </c>
      <c r="L29" s="71">
        <f>IFERROR(MAX(L5:L25)/MIN(L5:L25),0)</f>
        <v/>
      </c>
    </row>
    <row r="30">
      <c r="B30" s="26" t="inlineStr">
        <is>
          <t>Servicing + collections as a share of lifetime cost</t>
        </is>
      </c>
      <c r="L30" s="66">
        <f>IFERROR(SUM(J5:K25)/SUM(L5:L25),0)</f>
        <v/>
      </c>
      <c r="M30" s="7" t="inlineStr">
        <is>
          <t>If this is large, an origination-only price is structurally wrong.</t>
        </is>
      </c>
    </row>
    <row r="31">
      <c r="B31" s="26" t="inlineStr">
        <is>
          <t>Worst affordability (highest bps)</t>
        </is>
      </c>
      <c r="C31" s="13">
        <f>INDEX($B$5:$B$25,MATCH(MAX(N5:N25),N5:N25,0))</f>
        <v/>
      </c>
      <c r="N31" s="72">
        <f>MAX(N5:N25)</f>
        <v/>
      </c>
    </row>
    <row r="33">
      <c r="B33" s="7" t="inlineStr">
        <is>
          <t>Column N is the affordability test. A journey whose whole-life cost runs to hundreds of bps of the loan cannot carry a full-stack verification and servicing chain — it needs a cheaper check set and a lighter servicing playbook, not a discount.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1"/>
  <sheetViews>
    <sheetView showGridLines="0" workbookViewId="0">
      <pane ySplit="4" topLeftCell="A5" activePane="bottomLeft" state="frozen"/>
      <selection pane="bottomLeft" activeCell="A1" sqref="A1"/>
    </sheetView>
  </sheetViews>
  <sheetFormatPr baseColWidth="8" defaultRowHeight="15"/>
  <cols>
    <col width="17" customWidth="1" min="1" max="1"/>
    <col width="15" customWidth="1" min="2" max="2"/>
    <col width="15" customWidth="1" min="3" max="3"/>
    <col width="15" customWidth="1" min="4" max="4"/>
    <col width="18" customWidth="1" min="5" max="5"/>
    <col width="16" customWidth="1" min="6" max="6"/>
    <col width="18" customWidth="1" min="7" max="7"/>
    <col width="18" customWidth="1" min="8" max="8"/>
    <col width="18" customWidth="1" min="9" max="9"/>
    <col width="14" customWidth="1" min="10" max="10"/>
    <col width="15" customWidth="1" min="11" max="11"/>
    <col width="19" customWidth="1" min="12" max="12"/>
    <col width="13" customWidth="1" min="13" max="13"/>
    <col width="13" customWidth="1" min="14" max="14"/>
  </cols>
  <sheetData>
    <row r="1">
      <c r="A1" s="1" t="inlineStr">
        <is>
          <t>15 — Volume sensitivity</t>
        </is>
      </c>
    </row>
    <row r="2">
      <c r="A2" s="2" t="inlineStr">
        <is>
          <t>Same price card, varying monthly application volume. Governance, storage and the active book are recomputed at each volume. Recurring subscriptions are held constant — they follow branches and seats, not loans.</t>
        </is>
      </c>
    </row>
    <row r="4" ht="32" customHeight="1">
      <c r="A4" s="11" t="inlineStr">
        <is>
          <t>Monthly applications</t>
        </is>
      </c>
      <c r="B4" s="11" t="inlineStr">
        <is>
          <t>Annual applications</t>
        </is>
      </c>
      <c r="C4" s="11" t="inlineStr">
        <is>
          <t>Annual funded loans</t>
        </is>
      </c>
      <c r="D4" s="11" t="inlineStr">
        <is>
          <t>Active loans</t>
        </is>
      </c>
      <c r="E4" s="11" t="inlineStr">
        <is>
          <t>Governance ₹/yr</t>
        </is>
      </c>
      <c r="F4" s="11" t="inlineStr">
        <is>
          <t>Storage ₹/yr</t>
        </is>
      </c>
      <c r="G4" s="11" t="inlineStr">
        <is>
          <t>Total cost ₹/yr</t>
        </is>
      </c>
      <c r="H4" s="11" t="inlineStr">
        <is>
          <t>Total revenue ₹/yr</t>
        </is>
      </c>
      <c r="I4" s="11" t="inlineStr">
        <is>
          <t>Gross profit ₹/yr</t>
        </is>
      </c>
      <c r="J4" s="11" t="inlineStr">
        <is>
          <t>Blended margin %</t>
        </is>
      </c>
      <c r="K4" s="11" t="inlineStr">
        <is>
          <t>Software margin %</t>
        </is>
      </c>
      <c r="L4" s="11" t="inlineStr">
        <is>
          <t>Cost per funded loan ₹</t>
        </is>
      </c>
      <c r="M4" s="11" t="inlineStr">
        <is>
          <t>Effective bps</t>
        </is>
      </c>
      <c r="N4" s="11" t="inlineStr">
        <is>
          <t>Verdict</t>
        </is>
      </c>
    </row>
    <row r="5">
      <c r="A5" s="8" t="n">
        <v>250</v>
      </c>
      <c r="B5" s="28">
        <f>A5*12</f>
        <v/>
      </c>
      <c r="C5" s="28">
        <f>B5*'12_Tenant_PnL'!$B$9</f>
        <v/>
      </c>
      <c r="D5" s="28">
        <f>C5*IF('1_Inputs'!$B$21="Steady state",'12_Tenant_PnL'!$B$16,MIN('12_Tenant_PnL'!$B$16,1)/2)</f>
        <v/>
      </c>
      <c r="E5" s="29">
        <f>IF('1_Inputs'!$B$15="Equal per tenant",'10_Governance_Cost'!$B$21,IF('1_Inputs'!$B$15="Volume weighted",IFERROR('10_Governance_Cost'!$B$15*C5/'1_Inputs'!$B$10,0),0.5*'10_Governance_Cost'!$B$21+0.5*IFERROR('10_Governance_Cost'!$B$15*C5/'1_Inputs'!$B$10,0)))+'10_Governance_Cost'!$B$27*12+'10_Governance_Cost'!$B$28*C5/1000</f>
        <v/>
      </c>
      <c r="F5" s="29">
        <f>((B5-C5)*'9_Cloud_Cost'!$C$36+C5*'9_Cloud_Cost'!$C$37+D5*'9_Cloud_Cost'!$C$38)/1024*'9_Cloud_Cost'!$C$40*12</f>
        <v/>
      </c>
      <c r="G5" s="29">
        <f>'12_Tenant_PnL'!$B$61+E5+F5+'12_Tenant_PnL'!$B$62*B5</f>
        <v/>
      </c>
      <c r="H5" s="29">
        <f>'12_Tenant_PnL'!$B$64+'12_Tenant_PnL'!$B$65*B5</f>
        <v/>
      </c>
      <c r="I5" s="64">
        <f>H5-G5</f>
        <v/>
      </c>
      <c r="J5" s="42">
        <f>IFERROR(I5/H5,0)</f>
        <v/>
      </c>
      <c r="K5" s="69">
        <f>IFERROR(I5/(H5-IFERROR('12_Tenant_PnL'!$B$36/'12_Tenant_PnL'!$B$6,0)*B5),0)</f>
        <v/>
      </c>
      <c r="L5" s="53">
        <f>IFERROR(G5/C5,0)</f>
        <v/>
      </c>
      <c r="M5" s="41">
        <f>IFERROR(H5/(C5*'12_Tenant_PnL'!$B$11)*10000,0)</f>
        <v/>
      </c>
      <c r="N5" s="18">
        <f>IF(I5&lt;=0,"LOSS",IF(I5&lt;'12_Tenant_PnL'!$B$61+E5,"Sub-scale","Scaled"))</f>
        <v/>
      </c>
    </row>
    <row r="6">
      <c r="A6" s="8" t="n">
        <v>500</v>
      </c>
      <c r="B6" s="28">
        <f>A6*12</f>
        <v/>
      </c>
      <c r="C6" s="28">
        <f>B6*'12_Tenant_PnL'!$B$9</f>
        <v/>
      </c>
      <c r="D6" s="28">
        <f>C6*IF('1_Inputs'!$B$21="Steady state",'12_Tenant_PnL'!$B$16,MIN('12_Tenant_PnL'!$B$16,1)/2)</f>
        <v/>
      </c>
      <c r="E6" s="29">
        <f>IF('1_Inputs'!$B$15="Equal per tenant",'10_Governance_Cost'!$B$21,IF('1_Inputs'!$B$15="Volume weighted",IFERROR('10_Governance_Cost'!$B$15*C6/'1_Inputs'!$B$10,0),0.5*'10_Governance_Cost'!$B$21+0.5*IFERROR('10_Governance_Cost'!$B$15*C6/'1_Inputs'!$B$10,0)))+'10_Governance_Cost'!$B$27*12+'10_Governance_Cost'!$B$28*C6/1000</f>
        <v/>
      </c>
      <c r="F6" s="29">
        <f>((B6-C6)*'9_Cloud_Cost'!$C$36+C6*'9_Cloud_Cost'!$C$37+D6*'9_Cloud_Cost'!$C$38)/1024*'9_Cloud_Cost'!$C$40*12</f>
        <v/>
      </c>
      <c r="G6" s="29">
        <f>'12_Tenant_PnL'!$B$61+E6+F6+'12_Tenant_PnL'!$B$62*B6</f>
        <v/>
      </c>
      <c r="H6" s="29">
        <f>'12_Tenant_PnL'!$B$64+'12_Tenant_PnL'!$B$65*B6</f>
        <v/>
      </c>
      <c r="I6" s="64">
        <f>H6-G6</f>
        <v/>
      </c>
      <c r="J6" s="42">
        <f>IFERROR(I6/H6,0)</f>
        <v/>
      </c>
      <c r="K6" s="69">
        <f>IFERROR(I6/(H6-IFERROR('12_Tenant_PnL'!$B$36/'12_Tenant_PnL'!$B$6,0)*B6),0)</f>
        <v/>
      </c>
      <c r="L6" s="53">
        <f>IFERROR(G6/C6,0)</f>
        <v/>
      </c>
      <c r="M6" s="41">
        <f>IFERROR(H6/(C6*'12_Tenant_PnL'!$B$11)*10000,0)</f>
        <v/>
      </c>
      <c r="N6" s="18">
        <f>IF(I6&lt;=0,"LOSS",IF(I6&lt;'12_Tenant_PnL'!$B$61+E6,"Sub-scale","Scaled"))</f>
        <v/>
      </c>
    </row>
    <row r="7">
      <c r="A7" s="8" t="n">
        <v>1000</v>
      </c>
      <c r="B7" s="28">
        <f>A7*12</f>
        <v/>
      </c>
      <c r="C7" s="28">
        <f>B7*'12_Tenant_PnL'!$B$9</f>
        <v/>
      </c>
      <c r="D7" s="28">
        <f>C7*IF('1_Inputs'!$B$21="Steady state",'12_Tenant_PnL'!$B$16,MIN('12_Tenant_PnL'!$B$16,1)/2)</f>
        <v/>
      </c>
      <c r="E7" s="29">
        <f>IF('1_Inputs'!$B$15="Equal per tenant",'10_Governance_Cost'!$B$21,IF('1_Inputs'!$B$15="Volume weighted",IFERROR('10_Governance_Cost'!$B$15*C7/'1_Inputs'!$B$10,0),0.5*'10_Governance_Cost'!$B$21+0.5*IFERROR('10_Governance_Cost'!$B$15*C7/'1_Inputs'!$B$10,0)))+'10_Governance_Cost'!$B$27*12+'10_Governance_Cost'!$B$28*C7/1000</f>
        <v/>
      </c>
      <c r="F7" s="29">
        <f>((B7-C7)*'9_Cloud_Cost'!$C$36+C7*'9_Cloud_Cost'!$C$37+D7*'9_Cloud_Cost'!$C$38)/1024*'9_Cloud_Cost'!$C$40*12</f>
        <v/>
      </c>
      <c r="G7" s="29">
        <f>'12_Tenant_PnL'!$B$61+E7+F7+'12_Tenant_PnL'!$B$62*B7</f>
        <v/>
      </c>
      <c r="H7" s="29">
        <f>'12_Tenant_PnL'!$B$64+'12_Tenant_PnL'!$B$65*B7</f>
        <v/>
      </c>
      <c r="I7" s="64">
        <f>H7-G7</f>
        <v/>
      </c>
      <c r="J7" s="42">
        <f>IFERROR(I7/H7,0)</f>
        <v/>
      </c>
      <c r="K7" s="69">
        <f>IFERROR(I7/(H7-IFERROR('12_Tenant_PnL'!$B$36/'12_Tenant_PnL'!$B$6,0)*B7),0)</f>
        <v/>
      </c>
      <c r="L7" s="53">
        <f>IFERROR(G7/C7,0)</f>
        <v/>
      </c>
      <c r="M7" s="41">
        <f>IFERROR(H7/(C7*'12_Tenant_PnL'!$B$11)*10000,0)</f>
        <v/>
      </c>
      <c r="N7" s="18">
        <f>IF(I7&lt;=0,"LOSS",IF(I7&lt;'12_Tenant_PnL'!$B$61+E7,"Sub-scale","Scaled"))</f>
        <v/>
      </c>
    </row>
    <row r="8">
      <c r="A8" s="8" t="n">
        <v>2500</v>
      </c>
      <c r="B8" s="28">
        <f>A8*12</f>
        <v/>
      </c>
      <c r="C8" s="28">
        <f>B8*'12_Tenant_PnL'!$B$9</f>
        <v/>
      </c>
      <c r="D8" s="28">
        <f>C8*IF('1_Inputs'!$B$21="Steady state",'12_Tenant_PnL'!$B$16,MIN('12_Tenant_PnL'!$B$16,1)/2)</f>
        <v/>
      </c>
      <c r="E8" s="29">
        <f>IF('1_Inputs'!$B$15="Equal per tenant",'10_Governance_Cost'!$B$21,IF('1_Inputs'!$B$15="Volume weighted",IFERROR('10_Governance_Cost'!$B$15*C8/'1_Inputs'!$B$10,0),0.5*'10_Governance_Cost'!$B$21+0.5*IFERROR('10_Governance_Cost'!$B$15*C8/'1_Inputs'!$B$10,0)))+'10_Governance_Cost'!$B$27*12+'10_Governance_Cost'!$B$28*C8/1000</f>
        <v/>
      </c>
      <c r="F8" s="29">
        <f>((B8-C8)*'9_Cloud_Cost'!$C$36+C8*'9_Cloud_Cost'!$C$37+D8*'9_Cloud_Cost'!$C$38)/1024*'9_Cloud_Cost'!$C$40*12</f>
        <v/>
      </c>
      <c r="G8" s="29">
        <f>'12_Tenant_PnL'!$B$61+E8+F8+'12_Tenant_PnL'!$B$62*B8</f>
        <v/>
      </c>
      <c r="H8" s="29">
        <f>'12_Tenant_PnL'!$B$64+'12_Tenant_PnL'!$B$65*B8</f>
        <v/>
      </c>
      <c r="I8" s="64">
        <f>H8-G8</f>
        <v/>
      </c>
      <c r="J8" s="42">
        <f>IFERROR(I8/H8,0)</f>
        <v/>
      </c>
      <c r="K8" s="69">
        <f>IFERROR(I8/(H8-IFERROR('12_Tenant_PnL'!$B$36/'12_Tenant_PnL'!$B$6,0)*B8),0)</f>
        <v/>
      </c>
      <c r="L8" s="53">
        <f>IFERROR(G8/C8,0)</f>
        <v/>
      </c>
      <c r="M8" s="41">
        <f>IFERROR(H8/(C8*'12_Tenant_PnL'!$B$11)*10000,0)</f>
        <v/>
      </c>
      <c r="N8" s="18">
        <f>IF(I8&lt;=0,"LOSS",IF(I8&lt;'12_Tenant_PnL'!$B$61+E8,"Sub-scale","Scaled"))</f>
        <v/>
      </c>
    </row>
    <row r="9">
      <c r="A9" s="8" t="n">
        <v>5000</v>
      </c>
      <c r="B9" s="28">
        <f>A9*12</f>
        <v/>
      </c>
      <c r="C9" s="28">
        <f>B9*'12_Tenant_PnL'!$B$9</f>
        <v/>
      </c>
      <c r="D9" s="28">
        <f>C9*IF('1_Inputs'!$B$21="Steady state",'12_Tenant_PnL'!$B$16,MIN('12_Tenant_PnL'!$B$16,1)/2)</f>
        <v/>
      </c>
      <c r="E9" s="29">
        <f>IF('1_Inputs'!$B$15="Equal per tenant",'10_Governance_Cost'!$B$21,IF('1_Inputs'!$B$15="Volume weighted",IFERROR('10_Governance_Cost'!$B$15*C9/'1_Inputs'!$B$10,0),0.5*'10_Governance_Cost'!$B$21+0.5*IFERROR('10_Governance_Cost'!$B$15*C9/'1_Inputs'!$B$10,0)))+'10_Governance_Cost'!$B$27*12+'10_Governance_Cost'!$B$28*C9/1000</f>
        <v/>
      </c>
      <c r="F9" s="29">
        <f>((B9-C9)*'9_Cloud_Cost'!$C$36+C9*'9_Cloud_Cost'!$C$37+D9*'9_Cloud_Cost'!$C$38)/1024*'9_Cloud_Cost'!$C$40*12</f>
        <v/>
      </c>
      <c r="G9" s="29">
        <f>'12_Tenant_PnL'!$B$61+E9+F9+'12_Tenant_PnL'!$B$62*B9</f>
        <v/>
      </c>
      <c r="H9" s="29">
        <f>'12_Tenant_PnL'!$B$64+'12_Tenant_PnL'!$B$65*B9</f>
        <v/>
      </c>
      <c r="I9" s="64">
        <f>H9-G9</f>
        <v/>
      </c>
      <c r="J9" s="42">
        <f>IFERROR(I9/H9,0)</f>
        <v/>
      </c>
      <c r="K9" s="69">
        <f>IFERROR(I9/(H9-IFERROR('12_Tenant_PnL'!$B$36/'12_Tenant_PnL'!$B$6,0)*B9),0)</f>
        <v/>
      </c>
      <c r="L9" s="53">
        <f>IFERROR(G9/C9,0)</f>
        <v/>
      </c>
      <c r="M9" s="41">
        <f>IFERROR(H9/(C9*'12_Tenant_PnL'!$B$11)*10000,0)</f>
        <v/>
      </c>
      <c r="N9" s="18">
        <f>IF(I9&lt;=0,"LOSS",IF(I9&lt;'12_Tenant_PnL'!$B$61+E9,"Sub-scale","Scaled"))</f>
        <v/>
      </c>
    </row>
    <row r="10">
      <c r="A10" s="8" t="n">
        <v>10000</v>
      </c>
      <c r="B10" s="28">
        <f>A10*12</f>
        <v/>
      </c>
      <c r="C10" s="28">
        <f>B10*'12_Tenant_PnL'!$B$9</f>
        <v/>
      </c>
      <c r="D10" s="28">
        <f>C10*IF('1_Inputs'!$B$21="Steady state",'12_Tenant_PnL'!$B$16,MIN('12_Tenant_PnL'!$B$16,1)/2)</f>
        <v/>
      </c>
      <c r="E10" s="29">
        <f>IF('1_Inputs'!$B$15="Equal per tenant",'10_Governance_Cost'!$B$21,IF('1_Inputs'!$B$15="Volume weighted",IFERROR('10_Governance_Cost'!$B$15*C10/'1_Inputs'!$B$10,0),0.5*'10_Governance_Cost'!$B$21+0.5*IFERROR('10_Governance_Cost'!$B$15*C10/'1_Inputs'!$B$10,0)))+'10_Governance_Cost'!$B$27*12+'10_Governance_Cost'!$B$28*C10/1000</f>
        <v/>
      </c>
      <c r="F10" s="29">
        <f>((B10-C10)*'9_Cloud_Cost'!$C$36+C10*'9_Cloud_Cost'!$C$37+D10*'9_Cloud_Cost'!$C$38)/1024*'9_Cloud_Cost'!$C$40*12</f>
        <v/>
      </c>
      <c r="G10" s="29">
        <f>'12_Tenant_PnL'!$B$61+E10+F10+'12_Tenant_PnL'!$B$62*B10</f>
        <v/>
      </c>
      <c r="H10" s="29">
        <f>'12_Tenant_PnL'!$B$64+'12_Tenant_PnL'!$B$65*B10</f>
        <v/>
      </c>
      <c r="I10" s="64">
        <f>H10-G10</f>
        <v/>
      </c>
      <c r="J10" s="42">
        <f>IFERROR(I10/H10,0)</f>
        <v/>
      </c>
      <c r="K10" s="69">
        <f>IFERROR(I10/(H10-IFERROR('12_Tenant_PnL'!$B$36/'12_Tenant_PnL'!$B$6,0)*B10),0)</f>
        <v/>
      </c>
      <c r="L10" s="53">
        <f>IFERROR(G10/C10,0)</f>
        <v/>
      </c>
      <c r="M10" s="41">
        <f>IFERROR(H10/(C10*'12_Tenant_PnL'!$B$11)*10000,0)</f>
        <v/>
      </c>
      <c r="N10" s="18">
        <f>IF(I10&lt;=0,"LOSS",IF(I10&lt;'12_Tenant_PnL'!$B$61+E10,"Sub-scale","Scaled"))</f>
        <v/>
      </c>
    </row>
    <row r="11">
      <c r="A11" s="8" t="n">
        <v>25000</v>
      </c>
      <c r="B11" s="28">
        <f>A11*12</f>
        <v/>
      </c>
      <c r="C11" s="28">
        <f>B11*'12_Tenant_PnL'!$B$9</f>
        <v/>
      </c>
      <c r="D11" s="28">
        <f>C11*IF('1_Inputs'!$B$21="Steady state",'12_Tenant_PnL'!$B$16,MIN('12_Tenant_PnL'!$B$16,1)/2)</f>
        <v/>
      </c>
      <c r="E11" s="29">
        <f>IF('1_Inputs'!$B$15="Equal per tenant",'10_Governance_Cost'!$B$21,IF('1_Inputs'!$B$15="Volume weighted",IFERROR('10_Governance_Cost'!$B$15*C11/'1_Inputs'!$B$10,0),0.5*'10_Governance_Cost'!$B$21+0.5*IFERROR('10_Governance_Cost'!$B$15*C11/'1_Inputs'!$B$10,0)))+'10_Governance_Cost'!$B$27*12+'10_Governance_Cost'!$B$28*C11/1000</f>
        <v/>
      </c>
      <c r="F11" s="29">
        <f>((B11-C11)*'9_Cloud_Cost'!$C$36+C11*'9_Cloud_Cost'!$C$37+D11*'9_Cloud_Cost'!$C$38)/1024*'9_Cloud_Cost'!$C$40*12</f>
        <v/>
      </c>
      <c r="G11" s="29">
        <f>'12_Tenant_PnL'!$B$61+E11+F11+'12_Tenant_PnL'!$B$62*B11</f>
        <v/>
      </c>
      <c r="H11" s="29">
        <f>'12_Tenant_PnL'!$B$64+'12_Tenant_PnL'!$B$65*B11</f>
        <v/>
      </c>
      <c r="I11" s="64">
        <f>H11-G11</f>
        <v/>
      </c>
      <c r="J11" s="42">
        <f>IFERROR(I11/H11,0)</f>
        <v/>
      </c>
      <c r="K11" s="69">
        <f>IFERROR(I11/(H11-IFERROR('12_Tenant_PnL'!$B$36/'12_Tenant_PnL'!$B$6,0)*B11),0)</f>
        <v/>
      </c>
      <c r="L11" s="53">
        <f>IFERROR(G11/C11,0)</f>
        <v/>
      </c>
      <c r="M11" s="41">
        <f>IFERROR(H11/(C11*'12_Tenant_PnL'!$B$11)*10000,0)</f>
        <v/>
      </c>
      <c r="N11" s="18">
        <f>IF(I11&lt;=0,"LOSS",IF(I11&lt;'12_Tenant_PnL'!$B$61+E11,"Sub-scale","Scaled"))</f>
        <v/>
      </c>
    </row>
    <row r="12">
      <c r="A12" s="8" t="n">
        <v>50000</v>
      </c>
      <c r="B12" s="28">
        <f>A12*12</f>
        <v/>
      </c>
      <c r="C12" s="28">
        <f>B12*'12_Tenant_PnL'!$B$9</f>
        <v/>
      </c>
      <c r="D12" s="28">
        <f>C12*IF('1_Inputs'!$B$21="Steady state",'12_Tenant_PnL'!$B$16,MIN('12_Tenant_PnL'!$B$16,1)/2)</f>
        <v/>
      </c>
      <c r="E12" s="29">
        <f>IF('1_Inputs'!$B$15="Equal per tenant",'10_Governance_Cost'!$B$21,IF('1_Inputs'!$B$15="Volume weighted",IFERROR('10_Governance_Cost'!$B$15*C12/'1_Inputs'!$B$10,0),0.5*'10_Governance_Cost'!$B$21+0.5*IFERROR('10_Governance_Cost'!$B$15*C12/'1_Inputs'!$B$10,0)))+'10_Governance_Cost'!$B$27*12+'10_Governance_Cost'!$B$28*C12/1000</f>
        <v/>
      </c>
      <c r="F12" s="29">
        <f>((B12-C12)*'9_Cloud_Cost'!$C$36+C12*'9_Cloud_Cost'!$C$37+D12*'9_Cloud_Cost'!$C$38)/1024*'9_Cloud_Cost'!$C$40*12</f>
        <v/>
      </c>
      <c r="G12" s="29">
        <f>'12_Tenant_PnL'!$B$61+E12+F12+'12_Tenant_PnL'!$B$62*B12</f>
        <v/>
      </c>
      <c r="H12" s="29">
        <f>'12_Tenant_PnL'!$B$64+'12_Tenant_PnL'!$B$65*B12</f>
        <v/>
      </c>
      <c r="I12" s="64">
        <f>H12-G12</f>
        <v/>
      </c>
      <c r="J12" s="42">
        <f>IFERROR(I12/H12,0)</f>
        <v/>
      </c>
      <c r="K12" s="69">
        <f>IFERROR(I12/(H12-IFERROR('12_Tenant_PnL'!$B$36/'12_Tenant_PnL'!$B$6,0)*B12),0)</f>
        <v/>
      </c>
      <c r="L12" s="53">
        <f>IFERROR(G12/C12,0)</f>
        <v/>
      </c>
      <c r="M12" s="41">
        <f>IFERROR(H12/(C12*'12_Tenant_PnL'!$B$11)*10000,0)</f>
        <v/>
      </c>
      <c r="N12" s="18">
        <f>IF(I12&lt;=0,"LOSS",IF(I12&lt;'12_Tenant_PnL'!$B$61+E12,"Sub-scale","Scaled"))</f>
        <v/>
      </c>
    </row>
    <row r="14">
      <c r="A14" s="7" t="inlineStr">
        <is>
          <t>How to read this table:</t>
        </is>
      </c>
    </row>
    <row r="15">
      <c r="A15" s="7" t="inlineStr"/>
    </row>
    <row r="16">
      <c r="A16" s="7" t="inlineStr">
        <is>
          <t>1. Both gross PROFIT (column I) and margin (columns J and K) RISE with volume, and both asymptote. That is the classic fixed-base shape: the per-tenant floor — the isolated decision runtime (ADR 0003), the allocated compliance base, the support tier and the whole RECURRING class — is incurred at any volume and does not shrink.</t>
        </is>
      </c>
    </row>
    <row r="17">
      <c r="A17" s="7" t="inlineStr">
        <is>
          <t>2. Below the break-even row this tenant LOSES money at the quoted price. The cause is almost never the per-loan fee; it is that the fixed base was sized for a bigger book. Recurring cost in particular follows branches, devices, seats and partners, so a small branch-heavy tenant can carry a larger fixed base than a much bigger digital one.</t>
        </is>
      </c>
    </row>
    <row r="18">
      <c r="A18" s="7" t="inlineStr">
        <is>
          <t>3. The CEILING on blended margin (column J) is set by pass-through mix, not by inefficiency. Rebilled bureau, KYC, eSign, NACH and reporting-rail cost carries only the handling markup, so it permanently dilutes the blended percentage however efficient the platform becomes. Software margin (column K) is the real measure — manage to it, and never set a commission or an OKR on column J.</t>
        </is>
      </c>
    </row>
    <row r="19">
      <c r="A19" s="7" t="inlineStr">
        <is>
          <t>4. 'Sub-scale' means gross profit does not yet exceed this tenant's own fixed cost — the deal works on paper but leaves no room for the unmodelled human cost of a real customer relationship.</t>
        </is>
      </c>
    </row>
    <row r="20">
      <c r="A20" s="7" t="inlineStr"/>
    </row>
    <row r="21">
      <c r="A21" s="7" t="inlineStr">
        <is>
          <t>The commercial conclusion: the platform fee, not the per-loan fee, is what makes a small tenant safe to sign. Size it against the quantity drivers on sheet 1, not against the tenant's expected loan volume.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6"/>
  <sheetViews>
    <sheetView showGridLines="0" workbookViewId="0">
      <pane ySplit="4" topLeftCell="A5" activePane="bottomLeft" state="frozen"/>
      <selection pane="bottomLeft" activeCell="A1" sqref="A1"/>
    </sheetView>
  </sheetViews>
  <sheetFormatPr baseColWidth="8" defaultRowHeight="15"/>
  <cols>
    <col width="15" customWidth="1" min="1" max="1"/>
    <col width="27" customWidth="1" min="2" max="2"/>
    <col width="46" customWidth="1" min="3" max="3"/>
    <col width="26" customWidth="1" min="4" max="4"/>
    <col width="30" customWidth="1" min="5" max="5"/>
    <col width="60" customWidth="1" min="6" max="6"/>
  </cols>
  <sheetData>
    <row r="1">
      <c r="A1" s="1" t="inlineStr">
        <is>
          <t>16 — Integration coverage map</t>
        </is>
      </c>
    </row>
    <row r="2">
      <c r="A2" s="2" t="inlineStr">
        <is>
          <t>Every one of the 115 INT-* integrations in platform-module-integration-api-map.md and exactly how this model treats it. Nothing is silently omitted; anything not priced by a driver states where it is absorbed instead.</t>
        </is>
      </c>
    </row>
    <row r="4" ht="32" customHeight="1">
      <c r="A4" s="11" t="inlineStr">
        <is>
          <t>INT ID</t>
        </is>
      </c>
      <c r="B4" s="11" t="inlineStr">
        <is>
          <t>Module</t>
        </is>
      </c>
      <c r="C4" s="11" t="inlineStr">
        <is>
          <t>Capability</t>
        </is>
      </c>
      <c r="D4" s="11" t="inlineStr">
        <is>
          <t>Treatment</t>
        </is>
      </c>
      <c r="E4" s="11" t="inlineStr">
        <is>
          <t>Priced driver(s)</t>
        </is>
      </c>
      <c r="F4" s="11" t="inlineStr">
        <is>
          <t>If not priced — where it is absorbed</t>
        </is>
      </c>
    </row>
    <row r="5">
      <c r="A5" s="17" t="inlineStr">
        <is>
          <t>INT-CUS-01</t>
        </is>
      </c>
      <c r="B5" s="13" t="inlineStr">
        <is>
          <t>Customer channels &amp; CRM</t>
        </is>
      </c>
      <c r="C5" s="13" t="inlineStr">
        <is>
          <t>Registration and contact verification</t>
        </is>
      </c>
      <c r="D5" s="73" t="inlineStr">
        <is>
          <t>Priced driver</t>
        </is>
      </c>
      <c r="E5" s="27" t="inlineStr">
        <is>
          <t>D01</t>
        </is>
      </c>
      <c r="F5" s="14" t="inlineStr"/>
    </row>
    <row r="6">
      <c r="A6" s="17" t="inlineStr">
        <is>
          <t>INT-CUS-02</t>
        </is>
      </c>
      <c r="B6" s="13" t="inlineStr">
        <is>
          <t>Customer channels &amp; CRM</t>
        </is>
      </c>
      <c r="C6" s="13" t="inlineStr">
        <is>
          <t>Lead capture and dedupe</t>
        </is>
      </c>
      <c r="D6" s="73" t="inlineStr">
        <is>
          <t>Priced driver</t>
        </is>
      </c>
      <c r="E6" s="27" t="inlineStr">
        <is>
          <t>D02</t>
        </is>
      </c>
      <c r="F6" s="14" t="inlineStr"/>
    </row>
    <row r="7">
      <c r="A7" s="17" t="inlineStr">
        <is>
          <t>INT-CUS-03</t>
        </is>
      </c>
      <c r="B7" s="13" t="inlineStr">
        <is>
          <t>Customer channels &amp; CRM</t>
        </is>
      </c>
      <c r="C7" s="13" t="inlineStr">
        <is>
          <t>Branch/partner acquisition</t>
        </is>
      </c>
      <c r="D7" s="73" t="inlineStr">
        <is>
          <t>Priced driver</t>
        </is>
      </c>
      <c r="E7" s="27" t="inlineStr">
        <is>
          <t>R03</t>
        </is>
      </c>
      <c r="F7" s="14" t="inlineStr"/>
    </row>
    <row r="8">
      <c r="A8" s="17" t="inlineStr">
        <is>
          <t>INT-CUS-04</t>
        </is>
      </c>
      <c r="B8" s="13" t="inlineStr">
        <is>
          <t>Customer channels &amp; CRM</t>
        </is>
      </c>
      <c r="C8" s="13" t="inlineStr">
        <is>
          <t>Document collection</t>
        </is>
      </c>
      <c r="D8" s="73" t="inlineStr">
        <is>
          <t>Priced driver</t>
        </is>
      </c>
      <c r="E8" s="27" t="inlineStr">
        <is>
          <t>D03</t>
        </is>
      </c>
      <c r="F8" s="14" t="inlineStr"/>
    </row>
    <row r="9">
      <c r="A9" s="17" t="inlineStr">
        <is>
          <t>INT-CUS-05</t>
        </is>
      </c>
      <c r="B9" s="13" t="inlineStr">
        <is>
          <t>Customer channels &amp; CRM</t>
        </is>
      </c>
      <c r="C9" s="13" t="inlineStr">
        <is>
          <t>Government documents</t>
        </is>
      </c>
      <c r="D9" s="73" t="inlineStr">
        <is>
          <t>Priced driver</t>
        </is>
      </c>
      <c r="E9" s="27" t="inlineStr">
        <is>
          <t>D04</t>
        </is>
      </c>
      <c r="F9" s="14" t="inlineStr"/>
    </row>
    <row r="10">
      <c r="A10" s="17" t="inlineStr">
        <is>
          <t>INT-CUS-06</t>
        </is>
      </c>
      <c r="B10" s="13" t="inlineStr">
        <is>
          <t>Customer channels &amp; CRM</t>
        </is>
      </c>
      <c r="C10" s="13" t="inlineStr">
        <is>
          <t>Mobile/field channel</t>
        </is>
      </c>
      <c r="D10" s="73" t="inlineStr">
        <is>
          <t>Priced driver</t>
        </is>
      </c>
      <c r="E10" s="27" t="inlineStr">
        <is>
          <t>R01</t>
        </is>
      </c>
      <c r="F10" s="14" t="inlineStr"/>
    </row>
    <row r="11">
      <c r="A11" s="17" t="inlineStr">
        <is>
          <t>INT-CUS-07</t>
        </is>
      </c>
      <c r="B11" s="13" t="inlineStr">
        <is>
          <t>Customer channels &amp; CRM</t>
        </is>
      </c>
      <c r="C11" s="13" t="inlineStr">
        <is>
          <t>Offline field work</t>
        </is>
      </c>
      <c r="D11" s="73" t="inlineStr">
        <is>
          <t>Priced driver</t>
        </is>
      </c>
      <c r="E11" s="27" t="inlineStr">
        <is>
          <t>D36</t>
        </is>
      </c>
      <c r="F11" s="14" t="inlineStr"/>
    </row>
    <row r="12">
      <c r="A12" s="17" t="inlineStr">
        <is>
          <t>INT-CUS-08</t>
        </is>
      </c>
      <c r="B12" s="13" t="inlineStr">
        <is>
          <t>Customer channels &amp; CRM</t>
        </is>
      </c>
      <c r="C12" s="13" t="inlineStr">
        <is>
          <t>Language/accessibility</t>
        </is>
      </c>
      <c r="D12" s="73" t="inlineStr">
        <is>
          <t>Priced driver</t>
        </is>
      </c>
      <c r="E12" s="27" t="inlineStr">
        <is>
          <t>R04</t>
        </is>
      </c>
      <c r="F12" s="14" t="inlineStr"/>
    </row>
    <row r="13">
      <c r="A13" s="17" t="inlineStr">
        <is>
          <t>INT-LOS-01</t>
        </is>
      </c>
      <c r="B13" s="13" t="inlineStr">
        <is>
          <t>Loan origination</t>
        </is>
      </c>
      <c r="C13" s="13" t="inlineStr">
        <is>
          <t>Applicant identity</t>
        </is>
      </c>
      <c r="D13" s="73" t="inlineStr">
        <is>
          <t>Priced driver</t>
        </is>
      </c>
      <c r="E13" s="27" t="inlineStr">
        <is>
          <t>D06, D07</t>
        </is>
      </c>
      <c r="F13" s="14" t="inlineStr"/>
    </row>
    <row r="14">
      <c r="A14" s="17" t="inlineStr">
        <is>
          <t>INT-LOS-02</t>
        </is>
      </c>
      <c r="B14" s="13" t="inlineStr">
        <is>
          <t>Loan origination</t>
        </is>
      </c>
      <c r="C14" s="13" t="inlineStr">
        <is>
          <t>KYC reuse/registration</t>
        </is>
      </c>
      <c r="D14" s="73" t="inlineStr">
        <is>
          <t>Priced driver</t>
        </is>
      </c>
      <c r="E14" s="27" t="inlineStr">
        <is>
          <t>D08</t>
        </is>
      </c>
      <c r="F14" s="14" t="inlineStr"/>
    </row>
    <row r="15">
      <c r="A15" s="17" t="inlineStr">
        <is>
          <t>INT-LOS-03</t>
        </is>
      </c>
      <c r="B15" s="13" t="inlineStr">
        <is>
          <t>Loan origination</t>
        </is>
      </c>
      <c r="C15" s="13" t="inlineStr">
        <is>
          <t>Remote KYC</t>
        </is>
      </c>
      <c r="D15" s="73" t="inlineStr">
        <is>
          <t>Priced driver</t>
        </is>
      </c>
      <c r="E15" s="27" t="inlineStr">
        <is>
          <t>D09, D10</t>
        </is>
      </c>
      <c r="F15" s="14" t="inlineStr"/>
    </row>
    <row r="16">
      <c r="A16" s="17" t="inlineStr">
        <is>
          <t>INT-LOS-04</t>
        </is>
      </c>
      <c r="B16" s="13" t="inlineStr">
        <is>
          <t>Loan origination</t>
        </is>
      </c>
      <c r="C16" s="13" t="inlineStr">
        <is>
          <t>Business/KYB</t>
        </is>
      </c>
      <c r="D16" s="73" t="inlineStr">
        <is>
          <t>Priced driver</t>
        </is>
      </c>
      <c r="E16" s="27" t="inlineStr">
        <is>
          <t>D12, D13</t>
        </is>
      </c>
      <c r="F16" s="14" t="inlineStr"/>
    </row>
    <row r="17">
      <c r="A17" s="17" t="inlineStr">
        <is>
          <t>INT-LOS-05</t>
        </is>
      </c>
      <c r="B17" s="13" t="inlineStr">
        <is>
          <t>Loan origination</t>
        </is>
      </c>
      <c r="C17" s="13" t="inlineStr">
        <is>
          <t>Income/employment</t>
        </is>
      </c>
      <c r="D17" s="73" t="inlineStr">
        <is>
          <t>Priced driver</t>
        </is>
      </c>
      <c r="E17" s="27" t="inlineStr">
        <is>
          <t>D18</t>
        </is>
      </c>
      <c r="F17" s="14" t="inlineStr"/>
    </row>
    <row r="18">
      <c r="A18" s="17" t="inlineStr">
        <is>
          <t>INT-LOS-06</t>
        </is>
      </c>
      <c r="B18" s="13" t="inlineStr">
        <is>
          <t>Loan origination</t>
        </is>
      </c>
      <c r="C18" s="13" t="inlineStr">
        <is>
          <t>Credit underwriting</t>
        </is>
      </c>
      <c r="D18" s="73" t="inlineStr">
        <is>
          <t>Priced driver</t>
        </is>
      </c>
      <c r="E18" s="27" t="inlineStr">
        <is>
          <t>D14, D15</t>
        </is>
      </c>
      <c r="F18" s="14" t="inlineStr"/>
    </row>
    <row r="19">
      <c r="A19" s="17" t="inlineStr">
        <is>
          <t>INT-LOS-07</t>
        </is>
      </c>
      <c r="B19" s="13" t="inlineStr">
        <is>
          <t>Loan origination</t>
        </is>
      </c>
      <c r="C19" s="13" t="inlineStr">
        <is>
          <t>Open finance</t>
        </is>
      </c>
      <c r="D19" s="73" t="inlineStr">
        <is>
          <t>Priced driver</t>
        </is>
      </c>
      <c r="E19" s="27" t="inlineStr">
        <is>
          <t>D16</t>
        </is>
      </c>
      <c r="F19" s="14" t="inlineStr"/>
    </row>
    <row r="20">
      <c r="A20" s="17" t="inlineStr">
        <is>
          <t>INT-LOS-08</t>
        </is>
      </c>
      <c r="B20" s="13" t="inlineStr">
        <is>
          <t>Loan origination</t>
        </is>
      </c>
      <c r="C20" s="13" t="inlineStr">
        <is>
          <t>Statement assessment</t>
        </is>
      </c>
      <c r="D20" s="73" t="inlineStr">
        <is>
          <t>Priced driver</t>
        </is>
      </c>
      <c r="E20" s="27" t="inlineStr">
        <is>
          <t>D17</t>
        </is>
      </c>
      <c r="F20" s="14" t="inlineStr"/>
    </row>
    <row r="21">
      <c r="A21" s="17" t="inlineStr">
        <is>
          <t>INT-LOS-09</t>
        </is>
      </c>
      <c r="B21" s="13" t="inlineStr">
        <is>
          <t>Loan origination</t>
        </is>
      </c>
      <c r="C21" s="13" t="inlineStr">
        <is>
          <t>AML/fraud preflight</t>
        </is>
      </c>
      <c r="D21" s="73" t="inlineStr">
        <is>
          <t>Priced driver</t>
        </is>
      </c>
      <c r="E21" s="27" t="inlineStr">
        <is>
          <t>D05, D11</t>
        </is>
      </c>
      <c r="F21" s="14" t="inlineStr"/>
    </row>
    <row r="22">
      <c r="A22" s="17" t="inlineStr">
        <is>
          <t>INT-LOS-10</t>
        </is>
      </c>
      <c r="B22" s="13" t="inlineStr">
        <is>
          <t>Loan origination</t>
        </is>
      </c>
      <c r="C22" s="13" t="inlineStr">
        <is>
          <t>Document extraction</t>
        </is>
      </c>
      <c r="D22" s="73" t="inlineStr">
        <is>
          <t>Priced driver</t>
        </is>
      </c>
      <c r="E22" s="27" t="inlineStr">
        <is>
          <t>D19</t>
        </is>
      </c>
      <c r="F22" s="14" t="inlineStr"/>
    </row>
    <row r="23">
      <c r="A23" s="17" t="inlineStr">
        <is>
          <t>INT-LOS-11</t>
        </is>
      </c>
      <c r="B23" s="13" t="inlineStr">
        <is>
          <t>Loan origination</t>
        </is>
      </c>
      <c r="C23" s="13" t="inlineStr">
        <is>
          <t>Contract execution</t>
        </is>
      </c>
      <c r="D23" s="73" t="inlineStr">
        <is>
          <t>Priced driver</t>
        </is>
      </c>
      <c r="E23" s="27" t="inlineStr">
        <is>
          <t>D28, D29</t>
        </is>
      </c>
      <c r="F23" s="14" t="inlineStr"/>
    </row>
    <row r="24">
      <c r="A24" s="17" t="inlineStr">
        <is>
          <t>INT-LOS-12</t>
        </is>
      </c>
      <c r="B24" s="13" t="inlineStr">
        <is>
          <t>Loan origination</t>
        </is>
      </c>
      <c r="C24" s="13" t="inlineStr">
        <is>
          <t>Bank verification</t>
        </is>
      </c>
      <c r="D24" s="73" t="inlineStr">
        <is>
          <t>Priced driver</t>
        </is>
      </c>
      <c r="E24" s="27" t="inlineStr">
        <is>
          <t>D32</t>
        </is>
      </c>
      <c r="F24" s="14" t="inlineStr"/>
    </row>
    <row r="25">
      <c r="A25" s="17" t="inlineStr">
        <is>
          <t>INT-LOS-13</t>
        </is>
      </c>
      <c r="B25" s="13" t="inlineStr">
        <is>
          <t>Loan origination</t>
        </is>
      </c>
      <c r="C25" s="13" t="inlineStr">
        <is>
          <t>Secured due diligence</t>
        </is>
      </c>
      <c r="D25" s="73" t="inlineStr">
        <is>
          <t>Priced driver</t>
        </is>
      </c>
      <c r="E25" s="27" t="inlineStr">
        <is>
          <t>D21, D22, D23, D24</t>
        </is>
      </c>
      <c r="F25" s="14" t="inlineStr"/>
    </row>
    <row r="26">
      <c r="A26" s="17" t="inlineStr">
        <is>
          <t>INT-LOS-14</t>
        </is>
      </c>
      <c r="B26" s="13" t="inlineStr">
        <is>
          <t>Loan origination</t>
        </is>
      </c>
      <c r="C26" s="13" t="inlineStr">
        <is>
          <t>Security perfection</t>
        </is>
      </c>
      <c r="D26" s="73" t="inlineStr">
        <is>
          <t>Priced driver</t>
        </is>
      </c>
      <c r="E26" s="27" t="inlineStr">
        <is>
          <t>D30, D31</t>
        </is>
      </c>
      <c r="F26" s="14" t="inlineStr"/>
    </row>
    <row r="27">
      <c r="A27" s="17" t="inlineStr">
        <is>
          <t>INT-LOS-15</t>
        </is>
      </c>
      <c r="B27" s="13" t="inlineStr">
        <is>
          <t>Loan origination</t>
        </is>
      </c>
      <c r="C27" s="13" t="inlineStr">
        <is>
          <t>Disbursement</t>
        </is>
      </c>
      <c r="D27" s="73" t="inlineStr">
        <is>
          <t>Priced driver</t>
        </is>
      </c>
      <c r="E27" s="27" t="inlineStr">
        <is>
          <t>D33</t>
        </is>
      </c>
      <c r="F27" s="14" t="inlineStr"/>
    </row>
    <row r="28">
      <c r="A28" s="17" t="inlineStr">
        <is>
          <t>INT-LOS-16</t>
        </is>
      </c>
      <c r="B28" s="13" t="inlineStr">
        <is>
          <t>Loan origination</t>
        </is>
      </c>
      <c r="C28" s="13" t="inlineStr">
        <is>
          <t>Co-lending funding</t>
        </is>
      </c>
      <c r="D28" s="73" t="inlineStr">
        <is>
          <t>Priced driver</t>
        </is>
      </c>
      <c r="E28" s="27" t="inlineStr">
        <is>
          <t>D34</t>
        </is>
      </c>
      <c r="F28" s="14" t="inlineStr"/>
    </row>
    <row r="29">
      <c r="A29" s="17" t="inlineStr">
        <is>
          <t>INT-LOS-17</t>
        </is>
      </c>
      <c r="B29" s="13" t="inlineStr">
        <is>
          <t>Loan origination</t>
        </is>
      </c>
      <c r="C29" s="13" t="inlineStr">
        <is>
          <t>Customer delivery</t>
        </is>
      </c>
      <c r="D29" s="73" t="inlineStr">
        <is>
          <t>Priced driver</t>
        </is>
      </c>
      <c r="E29" s="27" t="inlineStr">
        <is>
          <t>D27</t>
        </is>
      </c>
      <c r="F29" s="14" t="inlineStr"/>
    </row>
    <row r="30">
      <c r="A30" s="24" t="inlineStr">
        <is>
          <t>INT-RSK-01</t>
        </is>
      </c>
      <c r="B30" s="13" t="inlineStr">
        <is>
          <t>Decision / risk / AML</t>
        </is>
      </c>
      <c r="C30" s="13" t="inlineStr">
        <is>
          <t>Eligibility/pricing facts</t>
        </is>
      </c>
      <c r="D30" s="74" t="inlineStr">
        <is>
          <t>Internal</t>
        </is>
      </c>
      <c r="E30" s="18" t="inlineStr"/>
      <c r="F30" s="14" t="inlineStr">
        <is>
          <t>fact assembly from feeds already priced individually</t>
        </is>
      </c>
    </row>
    <row r="31">
      <c r="A31" s="24" t="inlineStr">
        <is>
          <t>INT-RSK-02</t>
        </is>
      </c>
      <c r="B31" s="13" t="inlineStr">
        <is>
          <t>Decision / risk / AML</t>
        </is>
      </c>
      <c r="C31" s="13" t="inlineStr">
        <is>
          <t>Screening/CDD</t>
        </is>
      </c>
      <c r="D31" s="74" t="inlineStr">
        <is>
          <t>Internal</t>
        </is>
      </c>
      <c r="E31" s="18" t="inlineStr"/>
      <c r="F31" s="14" t="inlineStr">
        <is>
          <t>screening execution priced at D11 and S10</t>
        </is>
      </c>
    </row>
    <row r="32">
      <c r="A32" s="24" t="inlineStr">
        <is>
          <t>INT-RSK-03</t>
        </is>
      </c>
      <c r="B32" s="13" t="inlineStr">
        <is>
          <t>Decision / risk / AML</t>
        </is>
      </c>
      <c r="C32" s="13" t="inlineStr">
        <is>
          <t>Transaction monitoring</t>
        </is>
      </c>
      <c r="D32" s="74" t="inlineStr">
        <is>
          <t>Internal</t>
        </is>
      </c>
      <c r="E32" s="18" t="inlineStr"/>
      <c r="F32" s="14" t="inlineStr">
        <is>
          <t>transaction monitoring evaluation is internal compute</t>
        </is>
      </c>
    </row>
    <row r="33">
      <c r="A33" s="24" t="inlineStr">
        <is>
          <t>INT-RSK-04</t>
        </is>
      </c>
      <c r="B33" s="13" t="inlineStr">
        <is>
          <t>Decision / risk / AML</t>
        </is>
      </c>
      <c r="C33" s="13" t="inlineStr">
        <is>
          <t>Fraud intelligence</t>
        </is>
      </c>
      <c r="D33" s="74" t="inlineStr">
        <is>
          <t>Internal</t>
        </is>
      </c>
      <c r="E33" s="18" t="inlineStr"/>
      <c r="F33" s="14" t="inlineStr">
        <is>
          <t>consortium lookup priced at D05</t>
        </is>
      </c>
    </row>
    <row r="34">
      <c r="A34" s="17" t="inlineStr">
        <is>
          <t>INT-RSK-05</t>
        </is>
      </c>
      <c r="B34" s="13" t="inlineStr">
        <is>
          <t>Decision / risk / AML</t>
        </is>
      </c>
      <c r="C34" s="13" t="inlineStr">
        <is>
          <t>Model operations</t>
        </is>
      </c>
      <c r="D34" s="73" t="inlineStr">
        <is>
          <t>Priced driver</t>
        </is>
      </c>
      <c r="E34" s="27" t="inlineStr">
        <is>
          <t>R06</t>
        </is>
      </c>
      <c r="F34" s="14" t="inlineStr"/>
    </row>
    <row r="35">
      <c r="A35" s="17" t="inlineStr">
        <is>
          <t>INT-RSK-06</t>
        </is>
      </c>
      <c r="B35" s="13" t="inlineStr">
        <is>
          <t>Decision / risk / AML</t>
        </is>
      </c>
      <c r="C35" s="13" t="inlineStr">
        <is>
          <t>Reference data</t>
        </is>
      </c>
      <c r="D35" s="73" t="inlineStr">
        <is>
          <t>Priced driver</t>
        </is>
      </c>
      <c r="E35" s="27" t="inlineStr">
        <is>
          <t>R05</t>
        </is>
      </c>
      <c r="F35" s="14" t="inlineStr"/>
    </row>
    <row r="36">
      <c r="A36" s="17" t="inlineStr">
        <is>
          <t>INT-RSK-07</t>
        </is>
      </c>
      <c r="B36" s="13" t="inlineStr">
        <is>
          <t>Decision / risk / AML</t>
        </is>
      </c>
      <c r="C36" s="13" t="inlineStr">
        <is>
          <t>Foundation-model and agent runtime</t>
        </is>
      </c>
      <c r="D36" s="73" t="inlineStr">
        <is>
          <t>Priced driver</t>
        </is>
      </c>
      <c r="E36" s="27" t="inlineStr">
        <is>
          <t>D26</t>
        </is>
      </c>
      <c r="F36" s="14" t="inlineStr"/>
    </row>
    <row r="37">
      <c r="A37" s="17" t="inlineStr">
        <is>
          <t>INT-RSK-08</t>
        </is>
      </c>
      <c r="B37" s="13" t="inlineStr">
        <is>
          <t>Decision / risk / AML</t>
        </is>
      </c>
      <c r="C37" s="13" t="inlineStr">
        <is>
          <t>Agent knowledge and retrieval</t>
        </is>
      </c>
      <c r="D37" s="73" t="inlineStr">
        <is>
          <t>Priced driver</t>
        </is>
      </c>
      <c r="E37" s="27" t="inlineStr">
        <is>
          <t>D38, R07</t>
        </is>
      </c>
      <c r="F37" s="14" t="inlineStr"/>
    </row>
    <row r="38">
      <c r="A38" s="17" t="inlineStr">
        <is>
          <t>INT-LWS-01</t>
        </is>
      </c>
      <c r="B38" s="13" t="inlineStr">
        <is>
          <t>Lending workspaces</t>
        </is>
      </c>
      <c r="C38" s="13" t="inlineStr">
        <is>
          <t>Staff authority/routing</t>
        </is>
      </c>
      <c r="D38" s="73" t="inlineStr">
        <is>
          <t>Priced driver</t>
        </is>
      </c>
      <c r="E38" s="27" t="inlineStr">
        <is>
          <t>R08</t>
        </is>
      </c>
      <c r="F38" s="14" t="inlineStr"/>
    </row>
    <row r="39">
      <c r="A39" s="17" t="inlineStr">
        <is>
          <t>INT-LWS-02</t>
        </is>
      </c>
      <c r="B39" s="13" t="inlineStr">
        <is>
          <t>Lending workspaces</t>
        </is>
      </c>
      <c r="C39" s="13" t="inlineStr">
        <is>
          <t>Authentication/provisioning</t>
        </is>
      </c>
      <c r="D39" s="73" t="inlineStr">
        <is>
          <t>Priced driver</t>
        </is>
      </c>
      <c r="E39" s="27" t="inlineStr">
        <is>
          <t>R09</t>
        </is>
      </c>
      <c r="F39" s="14" t="inlineStr"/>
    </row>
    <row r="40">
      <c r="A40" s="17" t="inlineStr">
        <is>
          <t>INT-LWS-03</t>
        </is>
      </c>
      <c r="B40" s="13" t="inlineStr">
        <is>
          <t>Lending workspaces</t>
        </is>
      </c>
      <c r="C40" s="13" t="inlineStr">
        <is>
          <t>Task/escalation</t>
        </is>
      </c>
      <c r="D40" s="73" t="inlineStr">
        <is>
          <t>Priced driver</t>
        </is>
      </c>
      <c r="E40" s="27" t="inlineStr">
        <is>
          <t>R10</t>
        </is>
      </c>
      <c r="F40" s="14" t="inlineStr"/>
    </row>
    <row r="41">
      <c r="A41" s="17" t="inlineStr">
        <is>
          <t>INT-LWS-04</t>
        </is>
      </c>
      <c r="B41" s="13" t="inlineStr">
        <is>
          <t>Lending workspaces</t>
        </is>
      </c>
      <c r="C41" s="13" t="inlineStr">
        <is>
          <t>Evidence/committees</t>
        </is>
      </c>
      <c r="D41" s="73" t="inlineStr">
        <is>
          <t>Priced driver</t>
        </is>
      </c>
      <c r="E41" s="27" t="inlineStr">
        <is>
          <t>R11</t>
        </is>
      </c>
      <c r="F41" s="14" t="inlineStr"/>
    </row>
    <row r="42">
      <c r="A42" s="17" t="inlineStr">
        <is>
          <t>INT-LWS-05</t>
        </is>
      </c>
      <c r="B42" s="13" t="inlineStr">
        <is>
          <t>Lending workspaces</t>
        </is>
      </c>
      <c r="C42" s="13" t="inlineStr">
        <is>
          <t>External work orders</t>
        </is>
      </c>
      <c r="D42" s="73" t="inlineStr">
        <is>
          <t>Priced driver</t>
        </is>
      </c>
      <c r="E42" s="27" t="inlineStr">
        <is>
          <t>R12</t>
        </is>
      </c>
      <c r="F42" s="14" t="inlineStr"/>
    </row>
    <row r="43">
      <c r="A43" s="17" t="inlineStr">
        <is>
          <t>INT-LWS-06</t>
        </is>
      </c>
      <c r="B43" s="13" t="inlineStr">
        <is>
          <t>Lending workspaces</t>
        </is>
      </c>
      <c r="C43" s="13" t="inlineStr">
        <is>
          <t>Complaints/Ombudsman</t>
        </is>
      </c>
      <c r="D43" s="73" t="inlineStr">
        <is>
          <t>Priced driver</t>
        </is>
      </c>
      <c r="E43" s="27" t="inlineStr">
        <is>
          <t>R13</t>
        </is>
      </c>
      <c r="F43" s="14" t="inlineStr"/>
    </row>
    <row r="44">
      <c r="A44" s="17" t="inlineStr">
        <is>
          <t>INT-LWS-07</t>
        </is>
      </c>
      <c r="B44" s="13" t="inlineStr">
        <is>
          <t>Lending workspaces</t>
        </is>
      </c>
      <c r="C44" s="13" t="inlineStr">
        <is>
          <t>Court/regulator tasks</t>
        </is>
      </c>
      <c r="D44" s="73" t="inlineStr">
        <is>
          <t>Priced driver</t>
        </is>
      </c>
      <c r="E44" s="27" t="inlineStr">
        <is>
          <t>R14</t>
        </is>
      </c>
      <c r="F44" s="14" t="inlineStr"/>
    </row>
    <row r="45">
      <c r="A45" s="24" t="inlineStr">
        <is>
          <t>INT-LWS-08</t>
        </is>
      </c>
      <c r="B45" s="13" t="inlineStr">
        <is>
          <t>Lending workspaces</t>
        </is>
      </c>
      <c r="C45" s="13" t="inlineStr">
        <is>
          <t>Workflow workers</t>
        </is>
      </c>
      <c r="D45" s="74" t="inlineStr">
        <is>
          <t>Cloud sheet</t>
        </is>
      </c>
      <c r="E45" s="18" t="inlineStr"/>
      <c r="F45" s="14" t="inlineStr">
        <is>
          <t>queue_workers component</t>
        </is>
      </c>
    </row>
    <row r="46">
      <c r="A46" s="17" t="inlineStr">
        <is>
          <t>INT-LMS-01</t>
        </is>
      </c>
      <c r="B46" s="13" t="inlineStr">
        <is>
          <t>Loan management</t>
        </is>
      </c>
      <c r="C46" s="13" t="inlineStr">
        <is>
          <t>Account boarding/posting</t>
        </is>
      </c>
      <c r="D46" s="73" t="inlineStr">
        <is>
          <t>Priced driver</t>
        </is>
      </c>
      <c r="E46" s="27" t="inlineStr">
        <is>
          <t>S01</t>
        </is>
      </c>
      <c r="F46" s="14" t="inlineStr"/>
    </row>
    <row r="47">
      <c r="A47" s="17" t="inlineStr">
        <is>
          <t>INT-LMS-02</t>
        </is>
      </c>
      <c r="B47" s="13" t="inlineStr">
        <is>
          <t>Loan management</t>
        </is>
      </c>
      <c r="C47" s="13" t="inlineStr">
        <is>
          <t>Mandates</t>
        </is>
      </c>
      <c r="D47" s="73" t="inlineStr">
        <is>
          <t>Priced driver</t>
        </is>
      </c>
      <c r="E47" s="27" t="inlineStr">
        <is>
          <t>D35</t>
        </is>
      </c>
      <c r="F47" s="14" t="inlineStr"/>
    </row>
    <row r="48">
      <c r="A48" s="17" t="inlineStr">
        <is>
          <t>INT-LMS-03</t>
        </is>
      </c>
      <c r="B48" s="13" t="inlineStr">
        <is>
          <t>Loan management</t>
        </is>
      </c>
      <c r="C48" s="13" t="inlineStr">
        <is>
          <t>Scheduled collection</t>
        </is>
      </c>
      <c r="D48" s="73" t="inlineStr">
        <is>
          <t>Priced driver</t>
        </is>
      </c>
      <c r="E48" s="27" t="inlineStr">
        <is>
          <t>S02, S03</t>
        </is>
      </c>
      <c r="F48" s="14" t="inlineStr"/>
    </row>
    <row r="49">
      <c r="A49" s="17" t="inlineStr">
        <is>
          <t>INT-LMS-04</t>
        </is>
      </c>
      <c r="B49" s="13" t="inlineStr">
        <is>
          <t>Loan management</t>
        </is>
      </c>
      <c r="C49" s="13" t="inlineStr">
        <is>
          <t>Receipt/reconciliation</t>
        </is>
      </c>
      <c r="D49" s="73" t="inlineStr">
        <is>
          <t>Priced driver</t>
        </is>
      </c>
      <c r="E49" s="27" t="inlineStr">
        <is>
          <t>S04</t>
        </is>
      </c>
      <c r="F49" s="14" t="inlineStr"/>
    </row>
    <row r="50">
      <c r="A50" s="17" t="inlineStr">
        <is>
          <t>INT-LMS-05</t>
        </is>
      </c>
      <c r="B50" s="13" t="inlineStr">
        <is>
          <t>Loan management</t>
        </is>
      </c>
      <c r="C50" s="13" t="inlineStr">
        <is>
          <t>Refunds/payouts</t>
        </is>
      </c>
      <c r="D50" s="73" t="inlineStr">
        <is>
          <t>Priced driver</t>
        </is>
      </c>
      <c r="E50" s="27" t="inlineStr">
        <is>
          <t>S12</t>
        </is>
      </c>
      <c r="F50" s="14" t="inlineStr"/>
    </row>
    <row r="51">
      <c r="A51" s="17" t="inlineStr">
        <is>
          <t>INT-LMS-06</t>
        </is>
      </c>
      <c r="B51" s="13" t="inlineStr">
        <is>
          <t>Loan management</t>
        </is>
      </c>
      <c r="C51" s="13" t="inlineStr">
        <is>
          <t>Servicing notices</t>
        </is>
      </c>
      <c r="D51" s="73" t="inlineStr">
        <is>
          <t>Priced driver</t>
        </is>
      </c>
      <c r="E51" s="27" t="inlineStr">
        <is>
          <t>S05</t>
        </is>
      </c>
      <c r="F51" s="14" t="inlineStr"/>
    </row>
    <row r="52">
      <c r="A52" s="17" t="inlineStr">
        <is>
          <t>INT-LMS-07</t>
        </is>
      </c>
      <c r="B52" s="13" t="inlineStr">
        <is>
          <t>Loan management</t>
        </is>
      </c>
      <c r="C52" s="13" t="inlineStr">
        <is>
          <t>Statements/vault</t>
        </is>
      </c>
      <c r="D52" s="73" t="inlineStr">
        <is>
          <t>Priced driver</t>
        </is>
      </c>
      <c r="E52" s="27" t="inlineStr">
        <is>
          <t>S06</t>
        </is>
      </c>
      <c r="F52" s="14" t="inlineStr"/>
    </row>
    <row r="53">
      <c r="A53" s="17" t="inlineStr">
        <is>
          <t>INT-LMS-08</t>
        </is>
      </c>
      <c r="B53" s="13" t="inlineStr">
        <is>
          <t>Loan management</t>
        </is>
      </c>
      <c r="C53" s="13" t="inlineStr">
        <is>
          <t>Credit furnishing</t>
        </is>
      </c>
      <c r="D53" s="73" t="inlineStr">
        <is>
          <t>Priced driver</t>
        </is>
      </c>
      <c r="E53" s="27" t="inlineStr">
        <is>
          <t>S07</t>
        </is>
      </c>
      <c r="F53" s="14" t="inlineStr"/>
    </row>
    <row r="54">
      <c r="A54" s="17" t="inlineStr">
        <is>
          <t>INT-LMS-09</t>
        </is>
      </c>
      <c r="B54" s="13" t="inlineStr">
        <is>
          <t>Loan management</t>
        </is>
      </c>
      <c r="C54" s="13" t="inlineStr">
        <is>
          <t>Ongoing KYC/risk</t>
        </is>
      </c>
      <c r="D54" s="73" t="inlineStr">
        <is>
          <t>Priced driver</t>
        </is>
      </c>
      <c r="E54" s="27" t="inlineStr">
        <is>
          <t>S08, S09, S10</t>
        </is>
      </c>
      <c r="F54" s="14" t="inlineStr"/>
    </row>
    <row r="55">
      <c r="A55" s="17" t="inlineStr">
        <is>
          <t>INT-LMS-10</t>
        </is>
      </c>
      <c r="B55" s="13" t="inlineStr">
        <is>
          <t>Loan management</t>
        </is>
      </c>
      <c r="C55" s="13" t="inlineStr">
        <is>
          <t>Insurance/collateral</t>
        </is>
      </c>
      <c r="D55" s="73" t="inlineStr">
        <is>
          <t>Priced driver</t>
        </is>
      </c>
      <c r="E55" s="27" t="inlineStr">
        <is>
          <t>S11</t>
        </is>
      </c>
      <c r="F55" s="14" t="inlineStr"/>
    </row>
    <row r="56">
      <c r="A56" s="17" t="inlineStr">
        <is>
          <t>INT-LMS-11</t>
        </is>
      </c>
      <c r="B56" s="13" t="inlineStr">
        <is>
          <t>Loan management</t>
        </is>
      </c>
      <c r="C56" s="13" t="inlineStr">
        <is>
          <t>Restructure/transfer</t>
        </is>
      </c>
      <c r="D56" s="73" t="inlineStr">
        <is>
          <t>Priced driver</t>
        </is>
      </c>
      <c r="E56" s="27" t="inlineStr">
        <is>
          <t>S13</t>
        </is>
      </c>
      <c r="F56" s="14" t="inlineStr"/>
    </row>
    <row r="57">
      <c r="A57" s="17" t="inlineStr">
        <is>
          <t>INT-LMS-12</t>
        </is>
      </c>
      <c r="B57" s="13" t="inlineStr">
        <is>
          <t>Loan management</t>
        </is>
      </c>
      <c r="C57" s="13" t="inlineStr">
        <is>
          <t>Closure/release</t>
        </is>
      </c>
      <c r="D57" s="73" t="inlineStr">
        <is>
          <t>Priced driver</t>
        </is>
      </c>
      <c r="E57" s="27" t="inlineStr">
        <is>
          <t>S14</t>
        </is>
      </c>
      <c r="F57" s="14" t="inlineStr"/>
    </row>
    <row r="58">
      <c r="A58" s="17" t="inlineStr">
        <is>
          <t>INT-COL-01</t>
        </is>
      </c>
      <c r="B58" s="13" t="inlineStr">
        <is>
          <t>Collections</t>
        </is>
      </c>
      <c r="C58" s="13" t="inlineStr">
        <is>
          <t>Tele-collections</t>
        </is>
      </c>
      <c r="D58" s="73" t="inlineStr">
        <is>
          <t>Priced driver</t>
        </is>
      </c>
      <c r="E58" s="27" t="inlineStr">
        <is>
          <t>C01</t>
        </is>
      </c>
      <c r="F58" s="14" t="inlineStr"/>
    </row>
    <row r="59">
      <c r="A59" s="17" t="inlineStr">
        <is>
          <t>INT-COL-02</t>
        </is>
      </c>
      <c r="B59" s="13" t="inlineStr">
        <is>
          <t>Collections</t>
        </is>
      </c>
      <c r="C59" s="13" t="inlineStr">
        <is>
          <t>Digital collection</t>
        </is>
      </c>
      <c r="D59" s="73" t="inlineStr">
        <is>
          <t>Priced driver</t>
        </is>
      </c>
      <c r="E59" s="27" t="inlineStr">
        <is>
          <t>C02</t>
        </is>
      </c>
      <c r="F59" s="14" t="inlineStr"/>
    </row>
    <row r="60">
      <c r="A60" s="17" t="inlineStr">
        <is>
          <t>INT-COL-03</t>
        </is>
      </c>
      <c r="B60" s="13" t="inlineStr">
        <is>
          <t>Collections</t>
        </is>
      </c>
      <c r="C60" s="13" t="inlineStr">
        <is>
          <t>Field assignment</t>
        </is>
      </c>
      <c r="D60" s="73" t="inlineStr">
        <is>
          <t>Priced driver</t>
        </is>
      </c>
      <c r="E60" s="27" t="inlineStr">
        <is>
          <t>C03</t>
        </is>
      </c>
      <c r="F60" s="14" t="inlineStr"/>
    </row>
    <row r="61">
      <c r="A61" s="17" t="inlineStr">
        <is>
          <t>INT-COL-04</t>
        </is>
      </c>
      <c r="B61" s="13" t="inlineStr">
        <is>
          <t>Collections</t>
        </is>
      </c>
      <c r="C61" s="13" t="inlineStr">
        <is>
          <t>Agency oversight</t>
        </is>
      </c>
      <c r="D61" s="73" t="inlineStr">
        <is>
          <t>Priced driver</t>
        </is>
      </c>
      <c r="E61" s="27" t="inlineStr">
        <is>
          <t>C04</t>
        </is>
      </c>
      <c r="F61" s="14" t="inlineStr"/>
    </row>
    <row r="62">
      <c r="A62" s="17" t="inlineStr">
        <is>
          <t>INT-COL-05</t>
        </is>
      </c>
      <c r="B62" s="13" t="inlineStr">
        <is>
          <t>Collections</t>
        </is>
      </c>
      <c r="C62" s="13" t="inlineStr">
        <is>
          <t>Legal cases</t>
        </is>
      </c>
      <c r="D62" s="73" t="inlineStr">
        <is>
          <t>Priced driver</t>
        </is>
      </c>
      <c r="E62" s="27" t="inlineStr">
        <is>
          <t>C05</t>
        </is>
      </c>
      <c r="F62" s="14" t="inlineStr"/>
    </row>
    <row r="63">
      <c r="A63" s="17" t="inlineStr">
        <is>
          <t>INT-COL-06</t>
        </is>
      </c>
      <c r="B63" s="13" t="inlineStr">
        <is>
          <t>Collections</t>
        </is>
      </c>
      <c r="C63" s="13" t="inlineStr">
        <is>
          <t>Security enforcement</t>
        </is>
      </c>
      <c r="D63" s="73" t="inlineStr">
        <is>
          <t>Priced driver</t>
        </is>
      </c>
      <c r="E63" s="27" t="inlineStr">
        <is>
          <t>C06</t>
        </is>
      </c>
      <c r="F63" s="14" t="inlineStr"/>
    </row>
    <row r="64">
      <c r="A64" s="17" t="inlineStr">
        <is>
          <t>INT-COL-07</t>
        </is>
      </c>
      <c r="B64" s="13" t="inlineStr">
        <is>
          <t>Collections</t>
        </is>
      </c>
      <c r="C64" s="13" t="inlineStr">
        <is>
          <t>Auction</t>
        </is>
      </c>
      <c r="D64" s="73" t="inlineStr">
        <is>
          <t>Priced driver</t>
        </is>
      </c>
      <c r="E64" s="27" t="inlineStr">
        <is>
          <t>C07</t>
        </is>
      </c>
      <c r="F64" s="14" t="inlineStr"/>
    </row>
    <row r="65">
      <c r="A65" s="17" t="inlineStr">
        <is>
          <t>INT-COL-08</t>
        </is>
      </c>
      <c r="B65" s="13" t="inlineStr">
        <is>
          <t>Collections</t>
        </is>
      </c>
      <c r="C65" s="13" t="inlineStr">
        <is>
          <t>Recovery proceeds</t>
        </is>
      </c>
      <c r="D65" s="73" t="inlineStr">
        <is>
          <t>Priced driver</t>
        </is>
      </c>
      <c r="E65" s="27" t="inlineStr">
        <is>
          <t>C08</t>
        </is>
      </c>
      <c r="F65" s="14" t="inlineStr"/>
    </row>
    <row r="66">
      <c r="A66" s="17" t="inlineStr">
        <is>
          <t>INT-COLAT-01</t>
        </is>
      </c>
      <c r="B66" s="13" t="inlineStr">
        <is>
          <t>Collateral</t>
        </is>
      </c>
      <c r="C66" s="13" t="inlineStr">
        <is>
          <t>Asset verification</t>
        </is>
      </c>
      <c r="D66" s="73" t="inlineStr">
        <is>
          <t>Priced driver</t>
        </is>
      </c>
      <c r="E66" s="27" t="inlineStr">
        <is>
          <t>D37</t>
        </is>
      </c>
      <c r="F66" s="14" t="inlineStr"/>
    </row>
    <row r="67">
      <c r="A67" s="24" t="inlineStr">
        <is>
          <t>INT-COLAT-02</t>
        </is>
      </c>
      <c r="B67" s="13" t="inlineStr">
        <is>
          <t>Collateral</t>
        </is>
      </c>
      <c r="C67" s="13" t="inlineStr">
        <is>
          <t>Valuation</t>
        </is>
      </c>
      <c r="D67" s="74" t="inlineStr">
        <is>
          <t>Priced at origination</t>
        </is>
      </c>
      <c r="E67" s="18" t="inlineStr"/>
      <c r="F67" s="14" t="inlineStr">
        <is>
          <t>valuation is D21; revaluation is S11</t>
        </is>
      </c>
    </row>
    <row r="68">
      <c r="A68" s="24" t="inlineStr">
        <is>
          <t>INT-COLAT-03</t>
        </is>
      </c>
      <c r="B68" s="13" t="inlineStr">
        <is>
          <t>Collateral</t>
        </is>
      </c>
      <c r="C68" s="13" t="inlineStr">
        <is>
          <t>Legal/title</t>
        </is>
      </c>
      <c r="D68" s="74" t="inlineStr">
        <is>
          <t>Priced at origination</t>
        </is>
      </c>
      <c r="E68" s="18" t="inlineStr"/>
      <c r="F68" s="14" t="inlineStr">
        <is>
          <t>legal/title is D22</t>
        </is>
      </c>
    </row>
    <row r="69">
      <c r="A69" s="17" t="inlineStr">
        <is>
          <t>INT-COLAT-04</t>
        </is>
      </c>
      <c r="B69" s="13" t="inlineStr">
        <is>
          <t>Collateral</t>
        </is>
      </c>
      <c r="C69" s="13" t="inlineStr">
        <is>
          <t>Security registry</t>
        </is>
      </c>
      <c r="D69" s="73" t="inlineStr">
        <is>
          <t>Priced driver</t>
        </is>
      </c>
      <c r="E69" s="27" t="inlineStr">
        <is>
          <t>S15</t>
        </is>
      </c>
      <c r="F69" s="14" t="inlineStr"/>
    </row>
    <row r="70">
      <c r="A70" s="24" t="inlineStr">
        <is>
          <t>INT-COLAT-05</t>
        </is>
      </c>
      <c r="B70" s="13" t="inlineStr">
        <is>
          <t>Collateral</t>
        </is>
      </c>
      <c r="C70" s="13" t="inlineStr">
        <is>
          <t>Insurance</t>
        </is>
      </c>
      <c r="D70" s="74" t="inlineStr">
        <is>
          <t>Priced at origination</t>
        </is>
      </c>
      <c r="E70" s="18" t="inlineStr"/>
      <c r="F70" s="14" t="inlineStr">
        <is>
          <t>insurance bind is D31; renewal is S11</t>
        </is>
      </c>
    </row>
    <row r="71">
      <c r="A71" s="17" t="inlineStr">
        <is>
          <t>INT-COLAT-06</t>
        </is>
      </c>
      <c r="B71" s="13" t="inlineStr">
        <is>
          <t>Collateral</t>
        </is>
      </c>
      <c r="C71" s="13" t="inlineStr">
        <is>
          <t>Custody</t>
        </is>
      </c>
      <c r="D71" s="73" t="inlineStr">
        <is>
          <t>Priced driver</t>
        </is>
      </c>
      <c r="E71" s="27" t="inlineStr">
        <is>
          <t>S16</t>
        </is>
      </c>
      <c r="F71" s="14" t="inlineStr"/>
    </row>
    <row r="72">
      <c r="A72" s="17" t="inlineStr">
        <is>
          <t>INT-COLAT-07</t>
        </is>
      </c>
      <c r="B72" s="13" t="inlineStr">
        <is>
          <t>Collateral</t>
        </is>
      </c>
      <c r="C72" s="13" t="inlineStr">
        <is>
          <t>Repossession/yard</t>
        </is>
      </c>
      <c r="D72" s="73" t="inlineStr">
        <is>
          <t>Priced driver</t>
        </is>
      </c>
      <c r="E72" s="27" t="inlineStr">
        <is>
          <t>C09</t>
        </is>
      </c>
      <c r="F72" s="14" t="inlineStr"/>
    </row>
    <row r="73">
      <c r="A73" s="17" t="inlineStr">
        <is>
          <t>INT-FIN-01</t>
        </is>
      </c>
      <c r="B73" s="13" t="inlineStr">
        <is>
          <t>Finance &amp; accounting</t>
        </is>
      </c>
      <c r="C73" s="13" t="inlineStr">
        <is>
          <t>CBS/GL</t>
        </is>
      </c>
      <c r="D73" s="73" t="inlineStr">
        <is>
          <t>Priced driver</t>
        </is>
      </c>
      <c r="E73" s="27" t="inlineStr">
        <is>
          <t>R23</t>
        </is>
      </c>
      <c r="F73" s="14" t="inlineStr"/>
    </row>
    <row r="74">
      <c r="A74" s="17" t="inlineStr">
        <is>
          <t>INT-FIN-02</t>
        </is>
      </c>
      <c r="B74" s="13" t="inlineStr">
        <is>
          <t>Finance &amp; accounting</t>
        </is>
      </c>
      <c r="C74" s="13" t="inlineStr">
        <is>
          <t>Bank reconciliation</t>
        </is>
      </c>
      <c r="D74" s="73" t="inlineStr">
        <is>
          <t>Priced driver</t>
        </is>
      </c>
      <c r="E74" s="27" t="inlineStr">
        <is>
          <t>R24</t>
        </is>
      </c>
      <c r="F74" s="14" t="inlineStr"/>
    </row>
    <row r="75">
      <c r="A75" s="17" t="inlineStr">
        <is>
          <t>INT-FIN-03</t>
        </is>
      </c>
      <c r="B75" s="13" t="inlineStr">
        <is>
          <t>Finance &amp; accounting</t>
        </is>
      </c>
      <c r="C75" s="13" t="inlineStr">
        <is>
          <t>Rail settlement</t>
        </is>
      </c>
      <c r="D75" s="73" t="inlineStr">
        <is>
          <t>Priced driver</t>
        </is>
      </c>
      <c r="E75" s="27" t="inlineStr">
        <is>
          <t>R25</t>
        </is>
      </c>
      <c r="F75" s="14" t="inlineStr"/>
    </row>
    <row r="76">
      <c r="A76" s="17" t="inlineStr">
        <is>
          <t>INT-FIN-04</t>
        </is>
      </c>
      <c r="B76" s="13" t="inlineStr">
        <is>
          <t>Finance &amp; accounting</t>
        </is>
      </c>
      <c r="C76" s="13" t="inlineStr">
        <is>
          <t>Escrow/co-lender</t>
        </is>
      </c>
      <c r="D76" s="73" t="inlineStr">
        <is>
          <t>Priced driver</t>
        </is>
      </c>
      <c r="E76" s="27" t="inlineStr">
        <is>
          <t>R26</t>
        </is>
      </c>
      <c r="F76" s="14" t="inlineStr"/>
    </row>
    <row r="77">
      <c r="A77" s="17" t="inlineStr">
        <is>
          <t>INT-FIN-05</t>
        </is>
      </c>
      <c r="B77" s="13" t="inlineStr">
        <is>
          <t>Finance &amp; accounting</t>
        </is>
      </c>
      <c r="C77" s="13" t="inlineStr">
        <is>
          <t>GST/e-invoice</t>
        </is>
      </c>
      <c r="D77" s="73" t="inlineStr">
        <is>
          <t>Priced driver</t>
        </is>
      </c>
      <c r="E77" s="27" t="inlineStr">
        <is>
          <t>R27</t>
        </is>
      </c>
      <c r="F77" s="14" t="inlineStr"/>
    </row>
    <row r="78">
      <c r="A78" s="17" t="inlineStr">
        <is>
          <t>INT-FIN-06</t>
        </is>
      </c>
      <c r="B78" s="13" t="inlineStr">
        <is>
          <t>Finance &amp; accounting</t>
        </is>
      </c>
      <c r="C78" s="13" t="inlineStr">
        <is>
          <t>TDS/Income Tax</t>
        </is>
      </c>
      <c r="D78" s="73" t="inlineStr">
        <is>
          <t>Priced driver</t>
        </is>
      </c>
      <c r="E78" s="27" t="inlineStr">
        <is>
          <t>R28</t>
        </is>
      </c>
      <c r="F78" s="14" t="inlineStr"/>
    </row>
    <row r="79">
      <c r="A79" s="17" t="inlineStr">
        <is>
          <t>INT-FIN-07</t>
        </is>
      </c>
      <c r="B79" s="13" t="inlineStr">
        <is>
          <t>Finance &amp; accounting</t>
        </is>
      </c>
      <c r="C79" s="13" t="inlineStr">
        <is>
          <t>Treasury/ALM</t>
        </is>
      </c>
      <c r="D79" s="73" t="inlineStr">
        <is>
          <t>Priced driver</t>
        </is>
      </c>
      <c r="E79" s="27" t="inlineStr">
        <is>
          <t>R29</t>
        </is>
      </c>
      <c r="F79" s="14" t="inlineStr"/>
    </row>
    <row r="80">
      <c r="A80" s="17" t="inlineStr">
        <is>
          <t>INT-FIN-08</t>
        </is>
      </c>
      <c r="B80" s="13" t="inlineStr">
        <is>
          <t>Finance &amp; accounting</t>
        </is>
      </c>
      <c r="C80" s="13" t="inlineStr">
        <is>
          <t>Vendor/partner payables</t>
        </is>
      </c>
      <c r="D80" s="73" t="inlineStr">
        <is>
          <t>Priced driver</t>
        </is>
      </c>
      <c r="E80" s="27" t="inlineStr">
        <is>
          <t>R30</t>
        </is>
      </c>
      <c r="F80" s="14" t="inlineStr"/>
    </row>
    <row r="81">
      <c r="A81" s="17" t="inlineStr">
        <is>
          <t>INT-REG-01</t>
        </is>
      </c>
      <c r="B81" s="13" t="inlineStr">
        <is>
          <t>Regulatory reporting</t>
        </is>
      </c>
      <c r="C81" s="13" t="inlineStr">
        <is>
          <t>CKYCRR</t>
        </is>
      </c>
      <c r="D81" s="73" t="inlineStr">
        <is>
          <t>Priced driver</t>
        </is>
      </c>
      <c r="E81" s="27" t="inlineStr">
        <is>
          <t>R15</t>
        </is>
      </c>
      <c r="F81" s="14" t="inlineStr"/>
    </row>
    <row r="82">
      <c r="A82" s="17" t="inlineStr">
        <is>
          <t>INT-REG-02</t>
        </is>
      </c>
      <c r="B82" s="13" t="inlineStr">
        <is>
          <t>Regulatory reporting</t>
        </is>
      </c>
      <c r="C82" s="13" t="inlineStr">
        <is>
          <t>CIC furnishing</t>
        </is>
      </c>
      <c r="D82" s="73" t="inlineStr">
        <is>
          <t>Priced driver</t>
        </is>
      </c>
      <c r="E82" s="27" t="inlineStr">
        <is>
          <t>R16</t>
        </is>
      </c>
      <c r="F82" s="14" t="inlineStr"/>
    </row>
    <row r="83">
      <c r="A83" s="17" t="inlineStr">
        <is>
          <t>INT-REG-03</t>
        </is>
      </c>
      <c r="B83" s="13" t="inlineStr">
        <is>
          <t>Regulatory reporting</t>
        </is>
      </c>
      <c r="C83" s="13" t="inlineStr">
        <is>
          <t>FIU-IND FINnet</t>
        </is>
      </c>
      <c r="D83" s="73" t="inlineStr">
        <is>
          <t>Priced driver</t>
        </is>
      </c>
      <c r="E83" s="27" t="inlineStr">
        <is>
          <t>R17</t>
        </is>
      </c>
      <c r="F83" s="14" t="inlineStr"/>
    </row>
    <row r="84">
      <c r="A84" s="17" t="inlineStr">
        <is>
          <t>INT-REG-04</t>
        </is>
      </c>
      <c r="B84" s="13" t="inlineStr">
        <is>
          <t>Regulatory reporting</t>
        </is>
      </c>
      <c r="C84" s="13" t="inlineStr">
        <is>
          <t>CERSAI</t>
        </is>
      </c>
      <c r="D84" s="73" t="inlineStr">
        <is>
          <t>Priced driver</t>
        </is>
      </c>
      <c r="E84" s="27" t="inlineStr">
        <is>
          <t>R18</t>
        </is>
      </c>
      <c r="F84" s="14" t="inlineStr"/>
    </row>
    <row r="85">
      <c r="A85" s="17" t="inlineStr">
        <is>
          <t>INT-REG-05</t>
        </is>
      </c>
      <c r="B85" s="13" t="inlineStr">
        <is>
          <t>Regulatory reporting</t>
        </is>
      </c>
      <c r="C85" s="13" t="inlineStr">
        <is>
          <t>RBI CRILC/SMA</t>
        </is>
      </c>
      <c r="D85" s="73" t="inlineStr">
        <is>
          <t>Priced driver</t>
        </is>
      </c>
      <c r="E85" s="27" t="inlineStr">
        <is>
          <t>R19</t>
        </is>
      </c>
      <c r="F85" s="14" t="inlineStr"/>
    </row>
    <row r="86">
      <c r="A86" s="17" t="inlineStr">
        <is>
          <t>INT-REG-06</t>
        </is>
      </c>
      <c r="B86" s="13" t="inlineStr">
        <is>
          <t>Regulatory reporting</t>
        </is>
      </c>
      <c r="C86" s="13" t="inlineStr">
        <is>
          <t>CIMS/XBRL/PSL/DLA</t>
        </is>
      </c>
      <c r="D86" s="73" t="inlineStr">
        <is>
          <t>Priced driver</t>
        </is>
      </c>
      <c r="E86" s="27" t="inlineStr">
        <is>
          <t>R20</t>
        </is>
      </c>
      <c r="F86" s="14" t="inlineStr"/>
    </row>
    <row r="87">
      <c r="A87" s="17" t="inlineStr">
        <is>
          <t>INT-REG-07</t>
        </is>
      </c>
      <c r="B87" s="13" t="inlineStr">
        <is>
          <t>Regulatory reporting</t>
        </is>
      </c>
      <c r="C87" s="13" t="inlineStr">
        <is>
          <t>Complaints/Ombudsman</t>
        </is>
      </c>
      <c r="D87" s="73" t="inlineStr">
        <is>
          <t>Priced driver</t>
        </is>
      </c>
      <c r="E87" s="27" t="inlineStr">
        <is>
          <t>R13</t>
        </is>
      </c>
      <c r="F87" s="14" t="inlineStr"/>
    </row>
    <row r="88">
      <c r="A88" s="17" t="inlineStr">
        <is>
          <t>INT-REG-08</t>
        </is>
      </c>
      <c r="B88" s="13" t="inlineStr">
        <is>
          <t>Regulatory reporting</t>
        </is>
      </c>
      <c r="C88" s="13" t="inlineStr">
        <is>
          <t>Evidence anchoring</t>
        </is>
      </c>
      <c r="D88" s="73" t="inlineStr">
        <is>
          <t>Priced driver</t>
        </is>
      </c>
      <c r="E88" s="27" t="inlineStr">
        <is>
          <t>R21</t>
        </is>
      </c>
      <c r="F88" s="14" t="inlineStr"/>
    </row>
    <row r="89">
      <c r="A89" s="17" t="inlineStr">
        <is>
          <t>INT-REG-09</t>
        </is>
      </c>
      <c r="B89" s="13" t="inlineStr">
        <is>
          <t>Regulatory reporting</t>
        </is>
      </c>
      <c r="C89" s="13" t="inlineStr">
        <is>
          <t>Regulatory change</t>
        </is>
      </c>
      <c r="D89" s="73" t="inlineStr">
        <is>
          <t>Priced driver</t>
        </is>
      </c>
      <c r="E89" s="27" t="inlineStr">
        <is>
          <t>R22</t>
        </is>
      </c>
      <c r="F89" s="14" t="inlineStr"/>
    </row>
    <row r="90">
      <c r="A90" s="17" t="inlineStr">
        <is>
          <t>INT-PRT-01</t>
        </is>
      </c>
      <c r="B90" s="13" t="inlineStr">
        <is>
          <t>Partner / LSP</t>
        </is>
      </c>
      <c r="C90" s="13" t="inlineStr">
        <is>
          <t>Partner onboarding</t>
        </is>
      </c>
      <c r="D90" s="73" t="inlineStr">
        <is>
          <t>Priced driver</t>
        </is>
      </c>
      <c r="E90" s="27" t="inlineStr">
        <is>
          <t>R31</t>
        </is>
      </c>
      <c r="F90" s="14" t="inlineStr"/>
    </row>
    <row r="91">
      <c r="A91" s="17" t="inlineStr">
        <is>
          <t>INT-PRT-02</t>
        </is>
      </c>
      <c r="B91" s="13" t="inlineStr">
        <is>
          <t>Partner / LSP</t>
        </is>
      </c>
      <c r="C91" s="13" t="inlineStr">
        <is>
          <t>Lead/service exchange</t>
        </is>
      </c>
      <c r="D91" s="73" t="inlineStr">
        <is>
          <t>Priced driver</t>
        </is>
      </c>
      <c r="E91" s="27" t="inlineStr">
        <is>
          <t>R32</t>
        </is>
      </c>
      <c r="F91" s="14" t="inlineStr"/>
    </row>
    <row r="92">
      <c r="A92" s="17" t="inlineStr">
        <is>
          <t>INT-PRT-03</t>
        </is>
      </c>
      <c r="B92" s="13" t="inlineStr">
        <is>
          <t>Partner / LSP</t>
        </is>
      </c>
      <c r="C92" s="13" t="inlineStr">
        <is>
          <t>Identity/entitlements</t>
        </is>
      </c>
      <c r="D92" s="73" t="inlineStr">
        <is>
          <t>Priced driver</t>
        </is>
      </c>
      <c r="E92" s="27" t="inlineStr">
        <is>
          <t>R31</t>
        </is>
      </c>
      <c r="F92" s="14" t="inlineStr"/>
    </row>
    <row r="93">
      <c r="A93" s="17" t="inlineStr">
        <is>
          <t>INT-PRT-04</t>
        </is>
      </c>
      <c r="B93" s="13" t="inlineStr">
        <is>
          <t>Partner / LSP</t>
        </is>
      </c>
      <c r="C93" s="13" t="inlineStr">
        <is>
          <t>Commission/invoice</t>
        </is>
      </c>
      <c r="D93" s="73" t="inlineStr">
        <is>
          <t>Priced driver</t>
        </is>
      </c>
      <c r="E93" s="27" t="inlineStr">
        <is>
          <t>R33</t>
        </is>
      </c>
      <c r="F93" s="14" t="inlineStr"/>
    </row>
    <row r="94">
      <c r="A94" s="17" t="inlineStr">
        <is>
          <t>INT-PRT-05</t>
        </is>
      </c>
      <c r="B94" s="13" t="inlineStr">
        <is>
          <t>Partner / LSP</t>
        </is>
      </c>
      <c r="C94" s="13" t="inlineStr">
        <is>
          <t>Settlement</t>
        </is>
      </c>
      <c r="D94" s="73" t="inlineStr">
        <is>
          <t>Priced driver</t>
        </is>
      </c>
      <c r="E94" s="27" t="inlineStr">
        <is>
          <t>R33</t>
        </is>
      </c>
      <c r="F94" s="14" t="inlineStr"/>
    </row>
    <row r="95">
      <c r="A95" s="17" t="inlineStr">
        <is>
          <t>INT-PRT-06</t>
        </is>
      </c>
      <c r="B95" s="13" t="inlineStr">
        <is>
          <t>Partner / LSP</t>
        </is>
      </c>
      <c r="C95" s="13" t="inlineStr">
        <is>
          <t>Oversight/SLA</t>
        </is>
      </c>
      <c r="D95" s="73" t="inlineStr">
        <is>
          <t>Priced driver</t>
        </is>
      </c>
      <c r="E95" s="27" t="inlineStr">
        <is>
          <t>R34</t>
        </is>
      </c>
      <c r="F95" s="14" t="inlineStr"/>
    </row>
    <row r="96">
      <c r="A96" s="24" t="inlineStr">
        <is>
          <t>INT-PLT-01</t>
        </is>
      </c>
      <c r="B96" s="13" t="inlineStr">
        <is>
          <t>Platform</t>
        </is>
      </c>
      <c r="C96" s="13" t="inlineStr">
        <is>
          <t>Workforce identity</t>
        </is>
      </c>
      <c r="D96" s="74" t="inlineStr">
        <is>
          <t>Governance sheet</t>
        </is>
      </c>
      <c r="E96" s="18" t="inlineStr"/>
      <c r="F96" s="14" t="inlineStr">
        <is>
          <t>our own workforce identity, not the tenant's</t>
        </is>
      </c>
    </row>
    <row r="97">
      <c r="A97" s="24" t="inlineStr">
        <is>
          <t>INT-PLT-02</t>
        </is>
      </c>
      <c r="B97" s="13" t="inlineStr">
        <is>
          <t>Platform</t>
        </is>
      </c>
      <c r="C97" s="13" t="inlineStr">
        <is>
          <t>Secrets/crypto</t>
        </is>
      </c>
      <c r="D97" s="74" t="inlineStr">
        <is>
          <t>Cloud sheet</t>
        </is>
      </c>
      <c r="E97" s="18" t="inlineStr"/>
      <c r="F97" s="14" t="inlineStr">
        <is>
          <t>keys_secrets component</t>
        </is>
      </c>
    </row>
    <row r="98">
      <c r="A98" s="24" t="inlineStr">
        <is>
          <t>INT-PLT-03</t>
        </is>
      </c>
      <c r="B98" s="13" t="inlineStr">
        <is>
          <t>Platform</t>
        </is>
      </c>
      <c r="C98" s="13" t="inlineStr">
        <is>
          <t>Security monitoring</t>
        </is>
      </c>
      <c r="D98" s="74" t="inlineStr">
        <is>
          <t>Cloud sheet</t>
        </is>
      </c>
      <c r="E98" s="18" t="inlineStr"/>
      <c r="F98" s="14" t="inlineStr">
        <is>
          <t>monitoring_siem component</t>
        </is>
      </c>
    </row>
    <row r="99">
      <c r="A99" s="17" t="inlineStr">
        <is>
          <t>INT-PLT-04</t>
        </is>
      </c>
      <c r="B99" s="13" t="inlineStr">
        <is>
          <t>Platform</t>
        </is>
      </c>
      <c r="C99" s="13" t="inlineStr">
        <is>
          <t>Evidence/time</t>
        </is>
      </c>
      <c r="D99" s="73" t="inlineStr">
        <is>
          <t>Priced driver</t>
        </is>
      </c>
      <c r="E99" s="27" t="inlineStr">
        <is>
          <t>R21</t>
        </is>
      </c>
      <c r="F99" s="14" t="inlineStr"/>
    </row>
    <row r="100">
      <c r="A100" s="24" t="inlineStr">
        <is>
          <t>INT-PLT-05</t>
        </is>
      </c>
      <c r="B100" s="13" t="inlineStr">
        <is>
          <t>Platform</t>
        </is>
      </c>
      <c r="C100" s="13" t="inlineStr">
        <is>
          <t>Database</t>
        </is>
      </c>
      <c r="D100" s="74" t="inlineStr">
        <is>
          <t>Cloud sheet</t>
        </is>
      </c>
      <c r="E100" s="18" t="inlineStr"/>
      <c r="F100" s="14" t="inlineStr">
        <is>
          <t>database_isolation component</t>
        </is>
      </c>
    </row>
    <row r="101">
      <c r="A101" s="24" t="inlineStr">
        <is>
          <t>INT-PLT-06</t>
        </is>
      </c>
      <c r="B101" s="13" t="inlineStr">
        <is>
          <t>Platform</t>
        </is>
      </c>
      <c r="C101" s="13" t="inlineStr">
        <is>
          <t>Events/jobs</t>
        </is>
      </c>
      <c r="D101" s="74" t="inlineStr">
        <is>
          <t>Cloud sheet</t>
        </is>
      </c>
      <c r="E101" s="18" t="inlineStr"/>
      <c r="F101" s="14" t="inlineStr">
        <is>
          <t>queue_workers component</t>
        </is>
      </c>
    </row>
    <row r="102">
      <c r="A102" s="24" t="inlineStr">
        <is>
          <t>INT-PLT-07</t>
        </is>
      </c>
      <c r="B102" s="13" t="inlineStr">
        <is>
          <t>Platform</t>
        </is>
      </c>
      <c r="C102" s="13" t="inlineStr">
        <is>
          <t>API management</t>
        </is>
      </c>
      <c r="D102" s="74" t="inlineStr">
        <is>
          <t>Cloud sheet</t>
        </is>
      </c>
      <c r="E102" s="18" t="inlineStr"/>
      <c r="F102" s="14" t="inlineStr">
        <is>
          <t>network_domain_certificates component</t>
        </is>
      </c>
    </row>
    <row r="103">
      <c r="A103" s="24" t="inlineStr">
        <is>
          <t>INT-PLT-08</t>
        </is>
      </c>
      <c r="B103" s="13" t="inlineStr">
        <is>
          <t>Platform</t>
        </is>
      </c>
      <c r="C103" s="13" t="inlineStr">
        <is>
          <t>Observability/support</t>
        </is>
      </c>
      <c r="D103" s="74" t="inlineStr">
        <is>
          <t>Service sheet</t>
        </is>
      </c>
      <c r="E103" s="18" t="inlineStr"/>
      <c r="F103" s="14" t="inlineStr">
        <is>
          <t>observability, on-call, incident and SLA</t>
        </is>
      </c>
    </row>
    <row r="104">
      <c r="A104" s="17" t="inlineStr">
        <is>
          <t>INT-PLT-09</t>
        </is>
      </c>
      <c r="B104" s="13" t="inlineStr">
        <is>
          <t>Platform</t>
        </is>
      </c>
      <c r="C104" s="13" t="inlineStr">
        <is>
          <t>CDC/warehouse/lake</t>
        </is>
      </c>
      <c r="D104" s="73" t="inlineStr">
        <is>
          <t>Priced driver</t>
        </is>
      </c>
      <c r="E104" s="27" t="inlineStr">
        <is>
          <t>R35</t>
        </is>
      </c>
      <c r="F104" s="14" t="inlineStr"/>
    </row>
    <row r="105">
      <c r="A105" s="17" t="inlineStr">
        <is>
          <t>INT-PLT-10</t>
        </is>
      </c>
      <c r="B105" s="13" t="inlineStr">
        <is>
          <t>Platform</t>
        </is>
      </c>
      <c r="C105" s="13" t="inlineStr">
        <is>
          <t>BI</t>
        </is>
      </c>
      <c r="D105" s="73" t="inlineStr">
        <is>
          <t>Priced driver</t>
        </is>
      </c>
      <c r="E105" s="27" t="inlineStr">
        <is>
          <t>R36</t>
        </is>
      </c>
      <c r="F105" s="14" t="inlineStr"/>
    </row>
    <row r="106">
      <c r="A106" s="24" t="inlineStr">
        <is>
          <t>INT-PLT-11</t>
        </is>
      </c>
      <c r="B106" s="13" t="inlineStr">
        <is>
          <t>Platform</t>
        </is>
      </c>
      <c r="C106" s="13" t="inlineStr">
        <is>
          <t>Deployment/supply chain</t>
        </is>
      </c>
      <c r="D106" s="74" t="inlineStr">
        <is>
          <t>Governance sheet</t>
        </is>
      </c>
      <c r="E106" s="18" t="inlineStr"/>
      <c r="F106" s="14" t="inlineStr">
        <is>
          <t>CI, signing, SBOM, scans, canary evidence</t>
        </is>
      </c>
    </row>
    <row r="107">
      <c r="A107" s="17" t="inlineStr">
        <is>
          <t>INT-PLT-12</t>
        </is>
      </c>
      <c r="B107" s="13" t="inlineStr">
        <is>
          <t>Platform</t>
        </is>
      </c>
      <c r="C107" s="13" t="inlineStr">
        <is>
          <t>Tenant billing</t>
        </is>
      </c>
      <c r="D107" s="73" t="inlineStr">
        <is>
          <t>Priced driver</t>
        </is>
      </c>
      <c r="E107" s="27" t="inlineStr">
        <is>
          <t>R37</t>
        </is>
      </c>
      <c r="F107" s="14" t="inlineStr"/>
    </row>
    <row r="108">
      <c r="A108" s="17" t="inlineStr">
        <is>
          <t>INT-PLT-13</t>
        </is>
      </c>
      <c r="B108" s="13" t="inlineStr">
        <is>
          <t>Platform</t>
        </is>
      </c>
      <c r="C108" s="13" t="inlineStr">
        <is>
          <t>Device management</t>
        </is>
      </c>
      <c r="D108" s="73" t="inlineStr">
        <is>
          <t>Priced driver</t>
        </is>
      </c>
      <c r="E108" s="27" t="inlineStr">
        <is>
          <t>R02</t>
        </is>
      </c>
      <c r="F108" s="14" t="inlineStr"/>
    </row>
    <row r="109">
      <c r="A109" s="24" t="inlineStr">
        <is>
          <t>INT-PLT-14</t>
        </is>
      </c>
      <c r="B109" s="13" t="inlineStr">
        <is>
          <t>Platform</t>
        </is>
      </c>
      <c r="C109" s="13" t="inlineStr">
        <is>
          <t>Portability/archive</t>
        </is>
      </c>
      <c r="D109" s="74" t="inlineStr">
        <is>
          <t>Cloud sheet</t>
        </is>
      </c>
      <c r="E109" s="18" t="inlineStr"/>
      <c r="F109" s="14" t="inlineStr">
        <is>
          <t>portability_exit component</t>
        </is>
      </c>
    </row>
    <row r="110">
      <c r="A110" s="17" t="inlineStr">
        <is>
          <t>INT-ADM-01</t>
        </is>
      </c>
      <c r="B110" s="13" t="inlineStr">
        <is>
          <t>SaaS org admission</t>
        </is>
      </c>
      <c r="C110" s="13" t="inlineStr">
        <is>
          <t>Signup contact and invitations</t>
        </is>
      </c>
      <c r="D110" s="73" t="inlineStr">
        <is>
          <t>Priced driver</t>
        </is>
      </c>
      <c r="E110" s="27" t="inlineStr">
        <is>
          <t>A01</t>
        </is>
      </c>
      <c r="F110" s="14" t="inlineStr"/>
    </row>
    <row r="111">
      <c r="A111" s="17" t="inlineStr">
        <is>
          <t>INT-ADM-02</t>
        </is>
      </c>
      <c r="B111" s="13" t="inlineStr">
        <is>
          <t>SaaS org admission</t>
        </is>
      </c>
      <c r="C111" s="13" t="inlineStr">
        <is>
          <t>Legal-entity and tax identity</t>
        </is>
      </c>
      <c r="D111" s="73" t="inlineStr">
        <is>
          <t>Priced driver</t>
        </is>
      </c>
      <c r="E111" s="27" t="inlineStr">
        <is>
          <t>A02</t>
        </is>
      </c>
      <c r="F111" s="14" t="inlineStr"/>
    </row>
    <row r="112">
      <c r="A112" s="17" t="inlineStr">
        <is>
          <t>INT-ADM-03</t>
        </is>
      </c>
      <c r="B112" s="13" t="inlineStr">
        <is>
          <t>SaaS org admission</t>
        </is>
      </c>
      <c r="C112" s="13" t="inlineStr">
        <is>
          <t>Regulated-entity authority</t>
        </is>
      </c>
      <c r="D112" s="73" t="inlineStr">
        <is>
          <t>Priced driver</t>
        </is>
      </c>
      <c r="E112" s="27" t="inlineStr">
        <is>
          <t>A03</t>
        </is>
      </c>
      <c r="F112" s="14" t="inlineStr"/>
    </row>
    <row r="113">
      <c r="A113" s="17" t="inlineStr">
        <is>
          <t>INT-ADM-04</t>
        </is>
      </c>
      <c r="B113" s="13" t="inlineStr">
        <is>
          <t>SaaS org admission</t>
        </is>
      </c>
      <c r="C113" s="13" t="inlineStr">
        <is>
          <t>Representative authority and signature</t>
        </is>
      </c>
      <c r="D113" s="73" t="inlineStr">
        <is>
          <t>Priced driver</t>
        </is>
      </c>
      <c r="E113" s="27" t="inlineStr">
        <is>
          <t>A04</t>
        </is>
      </c>
      <c r="F113" s="14" t="inlineStr"/>
    </row>
    <row r="114">
      <c r="A114" s="17" t="inlineStr">
        <is>
          <t>INT-ADM-05</t>
        </is>
      </c>
      <c r="B114" s="13" t="inlineStr">
        <is>
          <t>SaaS org admission</t>
        </is>
      </c>
      <c r="C114" s="13" t="inlineStr">
        <is>
          <t>Corporate domain and contact assurance</t>
        </is>
      </c>
      <c r="D114" s="73" t="inlineStr">
        <is>
          <t>Priced driver</t>
        </is>
      </c>
      <c r="E114" s="27" t="inlineStr">
        <is>
          <t>A05</t>
        </is>
      </c>
      <c r="F114" s="14" t="inlineStr"/>
    </row>
    <row r="115">
      <c r="A115" s="17" t="inlineStr">
        <is>
          <t>INT-ADM-06</t>
        </is>
      </c>
      <c r="B115" s="13" t="inlineStr">
        <is>
          <t>SaaS org admission</t>
        </is>
      </c>
      <c r="C115" s="13" t="inlineStr">
        <is>
          <t>Signup abuse and fraud defence</t>
        </is>
      </c>
      <c r="D115" s="73" t="inlineStr">
        <is>
          <t>Priced driver</t>
        </is>
      </c>
      <c r="E115" s="27" t="inlineStr">
        <is>
          <t>A06</t>
        </is>
      </c>
      <c r="F115" s="14" t="inlineStr"/>
    </row>
    <row r="116">
      <c r="A116" s="17" t="inlineStr">
        <is>
          <t>INT-ADM-07</t>
        </is>
      </c>
      <c r="B116" s="13" t="inlineStr">
        <is>
          <t>SaaS org admission</t>
        </is>
      </c>
      <c r="C116" s="13" t="inlineStr">
        <is>
          <t>Contract and outsourcing due diligence</t>
        </is>
      </c>
      <c r="D116" s="73" t="inlineStr">
        <is>
          <t>Priced driver</t>
        </is>
      </c>
      <c r="E116" s="27" t="inlineStr">
        <is>
          <t>A07</t>
        </is>
      </c>
      <c r="F116" s="14" t="inlineStr"/>
    </row>
    <row r="117">
      <c r="A117" s="17" t="inlineStr">
        <is>
          <t>INT-ADM-08</t>
        </is>
      </c>
      <c r="B117" s="13" t="inlineStr">
        <is>
          <t>SaaS org admission</t>
        </is>
      </c>
      <c r="C117" s="13" t="inlineStr">
        <is>
          <t>Subscription, invoicing and tax</t>
        </is>
      </c>
      <c r="D117" s="73" t="inlineStr">
        <is>
          <t>Priced driver</t>
        </is>
      </c>
      <c r="E117" s="27" t="inlineStr">
        <is>
          <t>R37</t>
        </is>
      </c>
      <c r="F117" s="14" t="inlineStr"/>
    </row>
    <row r="118">
      <c r="A118" s="24" t="inlineStr">
        <is>
          <t>INT-ADM-09</t>
        </is>
      </c>
      <c r="B118" s="13" t="inlineStr">
        <is>
          <t>SaaS org admission</t>
        </is>
      </c>
      <c r="C118" s="13" t="inlineStr">
        <is>
          <t>Tenant infrastructure provisioning</t>
        </is>
      </c>
      <c r="D118" s="74" t="inlineStr">
        <is>
          <t>Cloud sheet</t>
        </is>
      </c>
      <c r="E118" s="18" t="inlineStr"/>
      <c r="F118" s="14" t="inlineStr">
        <is>
          <t>all 17 provisioning components + onboarding</t>
        </is>
      </c>
    </row>
    <row r="119">
      <c r="A119" s="24" t="inlineStr">
        <is>
          <t>INT-ADM-10</t>
        </is>
      </c>
      <c r="B119" s="13" t="inlineStr">
        <is>
          <t>SaaS org admission</t>
        </is>
      </c>
      <c r="C119" s="13" t="inlineStr">
        <is>
          <t>Workforce federation and re-verification</t>
        </is>
      </c>
      <c r="D119" s="74" t="inlineStr">
        <is>
          <t>Governance sheet</t>
        </is>
      </c>
      <c r="E119" s="18" t="inlineStr"/>
      <c r="F119" s="14" t="inlineStr">
        <is>
          <t>workforce federation and re-verification</t>
        </is>
      </c>
    </row>
    <row r="121">
      <c r="B121" s="26" t="inlineStr">
        <is>
          <t>Total integrations in the map</t>
        </is>
      </c>
      <c r="D121" s="65" t="n">
        <v>115</v>
      </c>
    </row>
    <row r="122">
      <c r="B122" s="26" t="inlineStr">
        <is>
          <t>Carrying an explicit priced driver</t>
        </is>
      </c>
      <c r="D122" s="75">
        <f>COUNTIF($D$5:$D$119,"Priced driver")</f>
        <v/>
      </c>
    </row>
    <row r="123">
      <c r="B123" s="26" t="inlineStr">
        <is>
          <t>Absorbed by cloud / governance / service sheets or internal</t>
        </is>
      </c>
      <c r="D123" s="76">
        <f>115-COUNTIF($D$5:$D$119,"Priced driver")-COUNTIF($D$5:$D$119,"NOT COSTED")</f>
        <v/>
      </c>
    </row>
    <row r="124">
      <c r="B124" s="26" t="inlineStr">
        <is>
          <t>NOT COSTED (real gaps)</t>
        </is>
      </c>
      <c r="D124" s="68">
        <f>COUNTIF($D$5:$D$119,"NOT COSTED")</f>
        <v/>
      </c>
    </row>
    <row r="126">
      <c r="B126" s="7" t="inlineStr">
        <is>
          <t>Absorbed is not the same as free. A component in the cloud or governance sheet still costs money — it is just priced there as part of a bundle rather than metered per event. If any of those becomes separately billable by a vendor, promote it to its own driver on sheet 2 or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2026-07-21T02:21:00Z</dcterms:created>
  <dcterms:modified xsi:type="dcterms:W3CDTF">2026-07-21T02:21:01Z</dcterms:modified>
</cp:coreProperties>
</file>